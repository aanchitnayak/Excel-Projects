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E5CA3CC4-089B-4459-87C4-F62F20F02A25}" xr6:coauthVersionLast="43" xr6:coauthVersionMax="43" xr10:uidLastSave="{00000000-0000-0000-0000-000000000000}"/>
  <bookViews>
    <workbookView xWindow="-108" yWindow="-108" windowWidth="23256" windowHeight="12576" tabRatio="686" firstSheet="1" activeTab="1" xr2:uid="{00000000-000D-0000-FFFF-FFFF00000000}"/>
  </bookViews>
  <sheets>
    <sheet name="Instructions to Play" sheetId="6" r:id="rId1"/>
    <sheet name="Player Input" sheetId="3" r:id="rId2"/>
    <sheet name="Calculator Sheet" sheetId="1" r:id="rId3"/>
    <sheet name="Current Player Analytics" sheetId="7" r:id="rId4"/>
    <sheet name="Class Modifiers" sheetId="2" r:id="rId5"/>
    <sheet name="Potion and Posion Modifiers" sheetId="4" r:id="rId6"/>
    <sheet name="Sheet1" sheetId="8" r:id="rId7"/>
  </sheets>
  <definedNames>
    <definedName name="classes">'Class Modifiers'!$D$6:$D$14</definedName>
    <definedName name="classid">'Class Modifiers'!$C$6:$C$14</definedName>
    <definedName name="classmods">'Class Modifiers'!$E$18:$L$26</definedName>
    <definedName name="poisons">'Potion and Posion Modifiers'!$D$17:$D$22</definedName>
    <definedName name="potions">'Potion and Posion Modifiers'!$D$6:$D$11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7" l="1"/>
  <c r="H9" i="3"/>
  <c r="B51" i="7" l="1"/>
  <c r="B52" i="7" s="1"/>
  <c r="C32" i="1" l="1"/>
  <c r="D32" i="1"/>
  <c r="E32" i="1"/>
  <c r="F32" i="1"/>
  <c r="G32" i="1"/>
  <c r="H32" i="1"/>
  <c r="I32" i="1"/>
  <c r="J32" i="1"/>
  <c r="K32" i="1"/>
  <c r="L32" i="1"/>
  <c r="C33" i="1"/>
  <c r="D33" i="1"/>
  <c r="E33" i="1"/>
  <c r="F33" i="1"/>
  <c r="G33" i="1"/>
  <c r="H33" i="1"/>
  <c r="I33" i="1"/>
  <c r="J33" i="1"/>
  <c r="K33" i="1"/>
  <c r="L33" i="1"/>
  <c r="C34" i="1"/>
  <c r="D34" i="1"/>
  <c r="E34" i="1"/>
  <c r="F34" i="1"/>
  <c r="G34" i="1"/>
  <c r="H34" i="1"/>
  <c r="I34" i="1"/>
  <c r="J34" i="1"/>
  <c r="K34" i="1"/>
  <c r="L34" i="1"/>
  <c r="C35" i="1"/>
  <c r="D35" i="1"/>
  <c r="E35" i="1"/>
  <c r="F35" i="1"/>
  <c r="G35" i="1"/>
  <c r="H35" i="1"/>
  <c r="I35" i="1"/>
  <c r="J35" i="1"/>
  <c r="K35" i="1"/>
  <c r="L35" i="1"/>
  <c r="C36" i="1"/>
  <c r="D36" i="1"/>
  <c r="E36" i="1"/>
  <c r="F36" i="1"/>
  <c r="G36" i="1"/>
  <c r="H36" i="1"/>
  <c r="I36" i="1"/>
  <c r="J36" i="1"/>
  <c r="K36" i="1"/>
  <c r="L36" i="1"/>
  <c r="C37" i="1"/>
  <c r="D37" i="1"/>
  <c r="E37" i="1"/>
  <c r="F37" i="1"/>
  <c r="G37" i="1"/>
  <c r="H37" i="1"/>
  <c r="I37" i="1"/>
  <c r="J37" i="1"/>
  <c r="K37" i="1"/>
  <c r="L37" i="1"/>
  <c r="C38" i="1"/>
  <c r="D38" i="1"/>
  <c r="E38" i="1"/>
  <c r="F38" i="1"/>
  <c r="G38" i="1"/>
  <c r="H38" i="1"/>
  <c r="I38" i="1"/>
  <c r="J38" i="1"/>
  <c r="K38" i="1"/>
  <c r="L38" i="1"/>
  <c r="C39" i="1"/>
  <c r="D39" i="1"/>
  <c r="E39" i="1"/>
  <c r="F39" i="1"/>
  <c r="G39" i="1"/>
  <c r="H39" i="1"/>
  <c r="I39" i="1"/>
  <c r="J39" i="1"/>
  <c r="K39" i="1"/>
  <c r="L39" i="1"/>
  <c r="C40" i="1"/>
  <c r="D40" i="1"/>
  <c r="E40" i="1"/>
  <c r="F40" i="1"/>
  <c r="G40" i="1"/>
  <c r="H40" i="1"/>
  <c r="I40" i="1"/>
  <c r="J40" i="1"/>
  <c r="K40" i="1"/>
  <c r="L40" i="1"/>
  <c r="D31" i="1"/>
  <c r="E31" i="1"/>
  <c r="F31" i="1"/>
  <c r="G31" i="1"/>
  <c r="H31" i="1"/>
  <c r="I31" i="1"/>
  <c r="J31" i="1"/>
  <c r="K31" i="1"/>
  <c r="L31" i="1"/>
  <c r="C31" i="1"/>
  <c r="H10" i="3"/>
  <c r="N11" i="1" l="1"/>
  <c r="P11" i="1" s="1"/>
  <c r="N21" i="1" s="1"/>
  <c r="N10" i="1"/>
  <c r="P10" i="1" s="1"/>
  <c r="C19" i="4"/>
  <c r="C18" i="4"/>
  <c r="C20" i="4"/>
  <c r="C21" i="4"/>
  <c r="C22" i="4"/>
  <c r="C7" i="4"/>
  <c r="C6" i="4"/>
  <c r="C8" i="4"/>
  <c r="C11" i="4"/>
  <c r="C9" i="4"/>
  <c r="C10" i="4"/>
  <c r="N8" i="1"/>
  <c r="P8" i="1" s="1"/>
  <c r="N7" i="1"/>
  <c r="P7" i="1" s="1"/>
  <c r="D7" i="1"/>
  <c r="G12" i="1" s="1"/>
  <c r="E7" i="1"/>
  <c r="E12" i="1" s="1"/>
  <c r="F7" i="1"/>
  <c r="I17" i="1" s="1"/>
  <c r="G7" i="1"/>
  <c r="K17" i="1" s="1"/>
  <c r="F6" i="2"/>
  <c r="E6" i="2"/>
  <c r="C12" i="1"/>
  <c r="C7" i="2"/>
  <c r="C8" i="2"/>
  <c r="C9" i="2"/>
  <c r="C10" i="2"/>
  <c r="C11" i="2"/>
  <c r="C12" i="2"/>
  <c r="C13" i="2"/>
  <c r="C14" i="2"/>
  <c r="C6" i="2"/>
  <c r="D2" i="1"/>
  <c r="F2" i="1" s="1"/>
  <c r="D3" i="1"/>
  <c r="F3" i="1" s="1"/>
  <c r="D8" i="1"/>
  <c r="G13" i="1" s="1"/>
  <c r="E8" i="1"/>
  <c r="E13" i="1" s="1"/>
  <c r="F8" i="1"/>
  <c r="I18" i="1" s="1"/>
  <c r="G8" i="1"/>
  <c r="K18" i="1" s="1"/>
  <c r="C8" i="1"/>
  <c r="C13" i="1" s="1"/>
  <c r="C7" i="1"/>
  <c r="D12" i="1" l="1"/>
  <c r="C17" i="1" s="1"/>
  <c r="D17" i="1" s="1"/>
  <c r="C22" i="1" s="1"/>
  <c r="D22" i="1" s="1"/>
  <c r="L17" i="1"/>
  <c r="K22" i="1" s="1"/>
  <c r="J17" i="1"/>
  <c r="I22" i="1" s="1"/>
  <c r="L18" i="1"/>
  <c r="K23" i="1" s="1"/>
  <c r="L23" i="1" s="1"/>
  <c r="Q5" i="1" s="1"/>
  <c r="J18" i="1"/>
  <c r="I23" i="1" s="1"/>
  <c r="J23" i="1" s="1"/>
  <c r="P5" i="1" s="1"/>
  <c r="F12" i="1"/>
  <c r="E17" i="1" s="1"/>
  <c r="F17" i="1" s="1"/>
  <c r="E22" i="1" s="1"/>
  <c r="F13" i="1"/>
  <c r="E18" i="1" s="1"/>
  <c r="F18" i="1" s="1"/>
  <c r="E23" i="1" s="1"/>
  <c r="F23" i="1" s="1"/>
  <c r="O5" i="1" s="1"/>
  <c r="H12" i="1"/>
  <c r="G17" i="1" s="1"/>
  <c r="H17" i="1" s="1"/>
  <c r="G22" i="1" s="1"/>
  <c r="D13" i="1"/>
  <c r="C18" i="1" s="1"/>
  <c r="D18" i="1" s="1"/>
  <c r="C23" i="1" s="1"/>
  <c r="D23" i="1" s="1"/>
  <c r="H13" i="1"/>
  <c r="G18" i="1" s="1"/>
  <c r="H18" i="1" s="1"/>
  <c r="G23" i="1" s="1"/>
  <c r="H23" i="1" s="1"/>
  <c r="N5" i="1" s="1"/>
  <c r="M5" i="1" l="1"/>
  <c r="E45" i="1" s="1"/>
  <c r="M23" i="1"/>
  <c r="L22" i="1"/>
  <c r="H22" i="1"/>
  <c r="F22" i="1"/>
  <c r="J22" i="1"/>
  <c r="M4" i="1"/>
  <c r="D49" i="1" l="1"/>
  <c r="C49" i="1"/>
  <c r="K45" i="1"/>
  <c r="J45" i="1"/>
  <c r="C45" i="1"/>
  <c r="F45" i="1"/>
  <c r="H45" i="1"/>
  <c r="L45" i="1"/>
  <c r="G45" i="1"/>
  <c r="D45" i="1"/>
  <c r="I45" i="1"/>
  <c r="M22" i="1"/>
  <c r="P4" i="1"/>
  <c r="O4" i="1"/>
  <c r="N4" i="1"/>
  <c r="Q4" i="1"/>
  <c r="E49" i="1" l="1"/>
  <c r="D48" i="1"/>
  <c r="C48" i="1"/>
  <c r="D44" i="1"/>
  <c r="D46" i="1" s="1"/>
  <c r="H44" i="1"/>
  <c r="H46" i="1" s="1"/>
  <c r="E44" i="1"/>
  <c r="E46" i="1" s="1"/>
  <c r="F44" i="1"/>
  <c r="F46" i="1" s="1"/>
  <c r="G44" i="1"/>
  <c r="G46" i="1" s="1"/>
  <c r="C44" i="1"/>
  <c r="C46" i="1" s="1"/>
  <c r="K44" i="1"/>
  <c r="K46" i="1" s="1"/>
  <c r="I44" i="1"/>
  <c r="I46" i="1" s="1"/>
  <c r="L44" i="1"/>
  <c r="L46" i="1" s="1"/>
  <c r="J44" i="1"/>
  <c r="J46" i="1" s="1"/>
  <c r="E48" i="1" l="1"/>
  <c r="P14" i="3"/>
  <c r="P16" i="3" l="1"/>
  <c r="G1" i="7"/>
  <c r="Q14" i="3"/>
</calcChain>
</file>

<file path=xl/sharedStrings.xml><?xml version="1.0" encoding="utf-8"?>
<sst xmlns="http://schemas.openxmlformats.org/spreadsheetml/2006/main" count="294" uniqueCount="116">
  <si>
    <t>STR</t>
  </si>
  <si>
    <t>DEX</t>
  </si>
  <si>
    <t>INT</t>
  </si>
  <si>
    <t>MOR</t>
  </si>
  <si>
    <t>VIG</t>
  </si>
  <si>
    <t>P1</t>
  </si>
  <si>
    <t>P2</t>
  </si>
  <si>
    <t>Core Stats</t>
  </si>
  <si>
    <t>Fighter</t>
  </si>
  <si>
    <t>Barbarian</t>
  </si>
  <si>
    <t xml:space="preserve">Sorcerer </t>
  </si>
  <si>
    <t>Wizard</t>
  </si>
  <si>
    <t>Monk</t>
  </si>
  <si>
    <t>Rogue</t>
  </si>
  <si>
    <t>Duelist</t>
  </si>
  <si>
    <t>Arcane Archer</t>
  </si>
  <si>
    <t>UB</t>
  </si>
  <si>
    <t>LB</t>
  </si>
  <si>
    <t xml:space="preserve">LB </t>
  </si>
  <si>
    <t>Class Modifier and Bias</t>
  </si>
  <si>
    <t>Class Type</t>
  </si>
  <si>
    <t>Potion Modifier and Bias</t>
  </si>
  <si>
    <t>Strength Potion</t>
  </si>
  <si>
    <t>Intelligence Potion</t>
  </si>
  <si>
    <t>Dexterity Potion</t>
  </si>
  <si>
    <t>Vigour Soup</t>
  </si>
  <si>
    <t>Sr. No.</t>
  </si>
  <si>
    <t>Poison Modifier and Bias</t>
  </si>
  <si>
    <t>Strength Poison</t>
  </si>
  <si>
    <t>Intelligence Poison</t>
  </si>
  <si>
    <t>Dexterity Poison</t>
  </si>
  <si>
    <t>Strength Modifier</t>
  </si>
  <si>
    <t>Dexterity Modifier</t>
  </si>
  <si>
    <t>Intelligence Modifier</t>
  </si>
  <si>
    <t>Battle Number</t>
  </si>
  <si>
    <t>p1</t>
  </si>
  <si>
    <t>p2</t>
  </si>
  <si>
    <t>p3</t>
  </si>
  <si>
    <t>p4</t>
  </si>
  <si>
    <t>p5</t>
  </si>
  <si>
    <t>p6</t>
  </si>
  <si>
    <t>Battle 1</t>
  </si>
  <si>
    <t>Battle 2</t>
  </si>
  <si>
    <t>Battle 3</t>
  </si>
  <si>
    <t>Battle 4</t>
  </si>
  <si>
    <t>Battle 5</t>
  </si>
  <si>
    <t>Battle 6</t>
  </si>
  <si>
    <t>Battle 7</t>
  </si>
  <si>
    <t>Battle 8</t>
  </si>
  <si>
    <t>Battle 9</t>
  </si>
  <si>
    <t>Battle 10</t>
  </si>
  <si>
    <t>Enter Class of P1</t>
  </si>
  <si>
    <t>Enter Class of P2</t>
  </si>
  <si>
    <t>Class ID</t>
  </si>
  <si>
    <t>Modified Stats</t>
  </si>
  <si>
    <t>Selected Class P1</t>
  </si>
  <si>
    <t>Selected Class P2</t>
  </si>
  <si>
    <t>Templar</t>
  </si>
  <si>
    <t>UB2</t>
  </si>
  <si>
    <t>LB3</t>
  </si>
  <si>
    <t>UB4</t>
  </si>
  <si>
    <t>N_STR</t>
  </si>
  <si>
    <t>N_DEX</t>
  </si>
  <si>
    <t>N_INT</t>
  </si>
  <si>
    <t>Core Stats - Class Modified</t>
  </si>
  <si>
    <t>Classes</t>
  </si>
  <si>
    <t>Core Stats - Potion Modified</t>
  </si>
  <si>
    <t>LB 5</t>
  </si>
  <si>
    <t>UB6</t>
  </si>
  <si>
    <t>LB7</t>
  </si>
  <si>
    <t>UB8</t>
  </si>
  <si>
    <t>Does P1 have any Potion Equipped?</t>
  </si>
  <si>
    <t>No Potion</t>
  </si>
  <si>
    <t>No Poison</t>
  </si>
  <si>
    <t>Does P2 have any Potion Equipped?</t>
  </si>
  <si>
    <t>Does P1 have any Poison Equipped?</t>
  </si>
  <si>
    <t>Does P2 have any Poison Equipped?</t>
  </si>
  <si>
    <t>Potion for P2</t>
  </si>
  <si>
    <t>Potion for P1</t>
  </si>
  <si>
    <t xml:space="preserve"> Vigour Poison</t>
  </si>
  <si>
    <t>Morale Poison</t>
  </si>
  <si>
    <t>Morale Wine</t>
  </si>
  <si>
    <t>N_MOR</t>
  </si>
  <si>
    <t>N_VIG</t>
  </si>
  <si>
    <t>Core Stats - Posion Modified</t>
  </si>
  <si>
    <t>Poison P1-&gt;P2</t>
  </si>
  <si>
    <t>Poison P2-&gt;P1</t>
  </si>
  <si>
    <t>Circumstantial Randomised Parameter Table - Luck Modifier</t>
  </si>
  <si>
    <t>Algo O/P</t>
  </si>
  <si>
    <t>Player 1</t>
  </si>
  <si>
    <t>Player 2</t>
  </si>
  <si>
    <t>Winner is:</t>
  </si>
  <si>
    <t>p7</t>
  </si>
  <si>
    <t>p8</t>
  </si>
  <si>
    <t>p9</t>
  </si>
  <si>
    <t>p10</t>
  </si>
  <si>
    <t>Morale Modifier</t>
  </si>
  <si>
    <t>Vigour Modifier</t>
  </si>
  <si>
    <t>Does Player Win? (RTC)</t>
  </si>
  <si>
    <t xml:space="preserve">War Index </t>
  </si>
  <si>
    <t>Its a Tie!</t>
  </si>
  <si>
    <t>Player 1 Wins!</t>
  </si>
  <si>
    <t>Declaration</t>
  </si>
  <si>
    <t xml:space="preserve">Level </t>
  </si>
  <si>
    <t>Total Skill Points Available for allocation</t>
  </si>
  <si>
    <t>SP</t>
  </si>
  <si>
    <t>Player 1 Does Not Win!</t>
  </si>
  <si>
    <t>THE VIGOUR POISON CALCULATIONS ARE BROKEN. DO NOT USE THEM.</t>
  </si>
  <si>
    <t>General Instructions to play</t>
  </si>
  <si>
    <t>Set a Level for your character</t>
  </si>
  <si>
    <t>According to the given level, assign skill points</t>
  </si>
  <si>
    <t>Selec a Class</t>
  </si>
  <si>
    <t>Select Potion and Poison Modifiers</t>
  </si>
  <si>
    <t>AVG</t>
  </si>
  <si>
    <t>SD</t>
  </si>
  <si>
    <t xml:space="preserve">Average Chance of Winning of P1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</si>
</sst>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9C570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9C57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i/>
      <sz val="11"/>
      <color theme="1"/>
      <name val="Cambria"/>
      <family val="1"/>
    </font>
    <font>
      <sz val="11"/>
      <name val="Cambria"/>
      <family val="1"/>
    </font>
    <font>
      <b/>
      <i/>
      <sz val="11"/>
      <color theme="1"/>
      <name val="Cambria"/>
      <family val="1"/>
    </font>
    <font>
      <sz val="11"/>
      <color rgb="FF9C5700"/>
      <name val="Cambria"/>
      <family val="1"/>
    </font>
    <font>
      <sz val="11"/>
      <color rgb="FF006100"/>
      <name val="Cambria"/>
      <family val="1"/>
    </font>
    <font>
      <i/>
      <u/>
      <sz val="11"/>
      <color theme="1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20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8" fillId="4" borderId="13" xfId="5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12" fillId="3" borderId="10" xfId="4" applyFont="1" applyBorder="1" applyAlignment="1">
      <alignment horizontal="center" vertical="center"/>
    </xf>
    <xf numFmtId="0" fontId="13" fillId="2" borderId="10" xfId="3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43" fontId="2" fillId="2" borderId="13" xfId="1" applyFont="1" applyFill="1" applyBorder="1" applyAlignment="1">
      <alignment horizontal="center" vertical="center"/>
    </xf>
    <xf numFmtId="43" fontId="3" fillId="3" borderId="13" xfId="1" applyFont="1" applyFill="1" applyBorder="1" applyAlignment="1">
      <alignment horizontal="center" vertical="center"/>
    </xf>
    <xf numFmtId="43" fontId="0" fillId="0" borderId="13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2" fillId="2" borderId="13" xfId="1" applyNumberFormat="1" applyFont="1" applyFill="1" applyBorder="1" applyAlignment="1">
      <alignment horizontal="center" vertical="center"/>
    </xf>
    <xf numFmtId="43" fontId="3" fillId="3" borderId="13" xfId="1" applyNumberFormat="1" applyFont="1" applyFill="1" applyBorder="1" applyAlignment="1">
      <alignment horizontal="center" vertical="center"/>
    </xf>
    <xf numFmtId="43" fontId="0" fillId="0" borderId="13" xfId="1" applyNumberFormat="1" applyFont="1" applyBorder="1" applyAlignment="1">
      <alignment horizontal="center" vertical="center"/>
    </xf>
    <xf numFmtId="43" fontId="0" fillId="0" borderId="5" xfId="1" applyNumberFormat="1" applyFont="1" applyBorder="1" applyAlignment="1">
      <alignment horizontal="center" vertical="center"/>
    </xf>
    <xf numFmtId="43" fontId="2" fillId="2" borderId="5" xfId="1" applyNumberFormat="1" applyFont="1" applyFill="1" applyBorder="1" applyAlignment="1">
      <alignment horizontal="center" vertical="center"/>
    </xf>
    <xf numFmtId="43" fontId="3" fillId="3" borderId="5" xfId="1" applyNumberFormat="1" applyFont="1" applyFill="1" applyBorder="1" applyAlignment="1">
      <alignment horizontal="center" vertical="center"/>
    </xf>
    <xf numFmtId="43" fontId="3" fillId="3" borderId="13" xfId="4" applyNumberFormat="1" applyBorder="1" applyAlignment="1">
      <alignment horizontal="center" vertical="center"/>
    </xf>
    <xf numFmtId="9" fontId="2" fillId="0" borderId="0" xfId="3" applyNumberFormat="1" applyFill="1" applyBorder="1" applyAlignment="1">
      <alignment horizontal="center"/>
    </xf>
    <xf numFmtId="9" fontId="3" fillId="0" borderId="0" xfId="4" applyNumberForma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43" fontId="2" fillId="2" borderId="15" xfId="1" applyFont="1" applyFill="1" applyBorder="1" applyAlignment="1">
      <alignment horizontal="center" vertical="center"/>
    </xf>
    <xf numFmtId="43" fontId="0" fillId="0" borderId="15" xfId="1" applyFont="1" applyBorder="1" applyAlignment="1">
      <alignment horizontal="center" vertical="center"/>
    </xf>
    <xf numFmtId="43" fontId="0" fillId="0" borderId="14" xfId="1" applyFont="1" applyBorder="1" applyAlignment="1">
      <alignment horizontal="center" vertical="center"/>
    </xf>
    <xf numFmtId="43" fontId="2" fillId="2" borderId="14" xfId="1" applyFont="1" applyFill="1" applyBorder="1" applyAlignment="1">
      <alignment horizontal="center" vertical="center"/>
    </xf>
    <xf numFmtId="43" fontId="3" fillId="3" borderId="15" xfId="1" applyFont="1" applyFill="1" applyBorder="1" applyAlignment="1">
      <alignment horizontal="center" vertical="center"/>
    </xf>
    <xf numFmtId="43" fontId="3" fillId="3" borderId="2" xfId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1" fillId="4" borderId="15" xfId="5" applyFont="1" applyBorder="1" applyAlignment="1">
      <alignment horizontal="center" vertical="center"/>
    </xf>
    <xf numFmtId="0" fontId="11" fillId="4" borderId="13" xfId="5" applyFont="1" applyBorder="1" applyAlignment="1">
      <alignment horizontal="center" vertical="center"/>
    </xf>
    <xf numFmtId="0" fontId="11" fillId="4" borderId="14" xfId="5" applyFont="1" applyBorder="1" applyAlignment="1">
      <alignment horizontal="center" vertical="center"/>
    </xf>
    <xf numFmtId="43" fontId="0" fillId="0" borderId="6" xfId="1" applyFont="1" applyBorder="1" applyAlignment="1">
      <alignment horizontal="center" vertical="center"/>
    </xf>
    <xf numFmtId="43" fontId="0" fillId="0" borderId="9" xfId="1" applyFont="1" applyBorder="1" applyAlignment="1">
      <alignment horizontal="center" vertical="center"/>
    </xf>
    <xf numFmtId="0" fontId="0" fillId="6" borderId="0" xfId="0" applyFill="1"/>
    <xf numFmtId="0" fontId="0" fillId="0" borderId="0" xfId="0" applyFill="1"/>
    <xf numFmtId="0" fontId="5" fillId="0" borderId="0" xfId="0" applyFont="1" applyFill="1" applyBorder="1" applyAlignment="1">
      <alignment horizontal="center"/>
    </xf>
    <xf numFmtId="43" fontId="0" fillId="0" borderId="0" xfId="1" applyNumberFormat="1" applyFont="1" applyFill="1" applyBorder="1" applyAlignment="1">
      <alignment horizontal="center" vertical="center"/>
    </xf>
    <xf numFmtId="43" fontId="2" fillId="0" borderId="0" xfId="1" applyNumberFormat="1" applyFont="1" applyFill="1" applyBorder="1" applyAlignment="1">
      <alignment horizontal="center" vertical="center"/>
    </xf>
    <xf numFmtId="43" fontId="3" fillId="0" borderId="0" xfId="1" applyNumberFormat="1" applyFont="1" applyFill="1" applyBorder="1" applyAlignment="1">
      <alignment horizontal="center" vertical="center"/>
    </xf>
    <xf numFmtId="9" fontId="0" fillId="0" borderId="0" xfId="2" applyFont="1" applyFill="1" applyBorder="1"/>
    <xf numFmtId="0" fontId="0" fillId="0" borderId="0" xfId="0" applyFill="1" applyBorder="1"/>
    <xf numFmtId="0" fontId="5" fillId="6" borderId="0" xfId="0" applyFont="1" applyFill="1" applyBorder="1" applyAlignment="1">
      <alignment vertical="center"/>
    </xf>
    <xf numFmtId="43" fontId="3" fillId="0" borderId="13" xfId="1" applyFont="1" applyFill="1" applyBorder="1" applyAlignment="1">
      <alignment horizontal="center" vertical="center"/>
    </xf>
    <xf numFmtId="43" fontId="2" fillId="0" borderId="13" xfId="1" applyFont="1" applyFill="1" applyBorder="1" applyAlignment="1">
      <alignment horizontal="center" vertical="center"/>
    </xf>
    <xf numFmtId="43" fontId="0" fillId="0" borderId="4" xfId="1" applyFont="1" applyBorder="1" applyAlignment="1">
      <alignment horizontal="center" vertical="center"/>
    </xf>
    <xf numFmtId="43" fontId="2" fillId="2" borderId="6" xfId="1" applyFont="1" applyFill="1" applyBorder="1" applyAlignment="1">
      <alignment horizontal="center" vertical="center"/>
    </xf>
    <xf numFmtId="43" fontId="0" fillId="0" borderId="13" xfId="1" applyFont="1" applyFill="1" applyBorder="1" applyAlignment="1">
      <alignment horizontal="center" vertical="center"/>
    </xf>
    <xf numFmtId="43" fontId="2" fillId="0" borderId="14" xfId="1" applyFont="1" applyFill="1" applyBorder="1" applyAlignment="1">
      <alignment horizontal="center" vertical="center"/>
    </xf>
    <xf numFmtId="43" fontId="3" fillId="3" borderId="6" xfId="1" applyFont="1" applyFill="1" applyBorder="1" applyAlignment="1">
      <alignment horizontal="center" vertical="center"/>
    </xf>
    <xf numFmtId="43" fontId="3" fillId="0" borderId="15" xfId="1" applyFont="1" applyFill="1" applyBorder="1" applyAlignment="1">
      <alignment horizontal="center" vertical="center"/>
    </xf>
    <xf numFmtId="43" fontId="3" fillId="0" borderId="5" xfId="1" applyFont="1" applyFill="1" applyBorder="1" applyAlignment="1">
      <alignment horizontal="center" vertical="center"/>
    </xf>
    <xf numFmtId="0" fontId="7" fillId="5" borderId="14" xfId="0" applyFont="1" applyFill="1" applyBorder="1"/>
    <xf numFmtId="0" fontId="0" fillId="0" borderId="13" xfId="0" applyBorder="1"/>
    <xf numFmtId="0" fontId="0" fillId="0" borderId="14" xfId="0" applyBorder="1"/>
    <xf numFmtId="0" fontId="12" fillId="3" borderId="7" xfId="4" applyFont="1" applyBorder="1" applyAlignment="1">
      <alignment horizontal="center" vertical="center"/>
    </xf>
    <xf numFmtId="0" fontId="13" fillId="2" borderId="5" xfId="3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15" xfId="0" applyBorder="1"/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0" fillId="0" borderId="0" xfId="0" quotePrefix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7" fillId="0" borderId="2" xfId="0" applyFont="1" applyBorder="1"/>
    <xf numFmtId="0" fontId="7" fillId="0" borderId="5" xfId="0" applyFont="1" applyBorder="1"/>
    <xf numFmtId="0" fontId="7" fillId="0" borderId="7" xfId="0" applyFont="1" applyBorder="1"/>
    <xf numFmtId="0" fontId="17" fillId="0" borderId="0" xfId="0" applyFont="1"/>
    <xf numFmtId="0" fontId="18" fillId="0" borderId="0" xfId="0" applyFont="1" applyBorder="1" applyAlignment="1"/>
    <xf numFmtId="0" fontId="20" fillId="0" borderId="15" xfId="0" applyFont="1" applyFill="1" applyBorder="1"/>
    <xf numFmtId="0" fontId="20" fillId="0" borderId="14" xfId="0" applyFont="1" applyFill="1" applyBorder="1"/>
    <xf numFmtId="0" fontId="17" fillId="0" borderId="5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8" fillId="0" borderId="1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17" fillId="0" borderId="1" xfId="0" applyFont="1" applyBorder="1"/>
    <xf numFmtId="0" fontId="17" fillId="0" borderId="0" xfId="0" applyFont="1" applyAlignment="1"/>
    <xf numFmtId="0" fontId="18" fillId="0" borderId="10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17" fillId="0" borderId="10" xfId="0" applyFont="1" applyBorder="1"/>
    <xf numFmtId="0" fontId="17" fillId="0" borderId="26" xfId="0" applyFont="1" applyBorder="1"/>
    <xf numFmtId="0" fontId="17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25" xfId="0" applyFont="1" applyBorder="1"/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/>
    <xf numFmtId="0" fontId="18" fillId="0" borderId="24" xfId="0" applyFont="1" applyBorder="1"/>
    <xf numFmtId="0" fontId="16" fillId="7" borderId="28" xfId="0" applyFont="1" applyFill="1" applyBorder="1" applyAlignment="1">
      <alignment vertical="center"/>
    </xf>
    <xf numFmtId="0" fontId="8" fillId="4" borderId="29" xfId="5" applyFont="1" applyFill="1" applyBorder="1" applyAlignment="1">
      <alignment horizontal="center"/>
    </xf>
    <xf numFmtId="0" fontId="8" fillId="4" borderId="30" xfId="5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2" xfId="0" applyFont="1" applyBorder="1" applyAlignment="1"/>
    <xf numFmtId="0" fontId="6" fillId="0" borderId="3" xfId="0" applyFont="1" applyBorder="1" applyAlignment="1"/>
    <xf numFmtId="0" fontId="6" fillId="0" borderId="4" xfId="0" applyFont="1" applyBorder="1" applyAlignment="1"/>
    <xf numFmtId="0" fontId="6" fillId="0" borderId="5" xfId="0" applyFont="1" applyBorder="1"/>
    <xf numFmtId="0" fontId="6" fillId="0" borderId="0" xfId="0" applyFont="1" applyBorder="1"/>
    <xf numFmtId="0" fontId="6" fillId="0" borderId="6" xfId="0" applyFont="1" applyBorder="1"/>
    <xf numFmtId="0" fontId="6" fillId="0" borderId="7" xfId="0" applyFont="1" applyBorder="1" applyAlignment="1"/>
    <xf numFmtId="0" fontId="6" fillId="0" borderId="8" xfId="0" applyFont="1" applyBorder="1" applyAlignment="1"/>
    <xf numFmtId="0" fontId="6" fillId="0" borderId="9" xfId="0" applyFont="1" applyBorder="1" applyAlignment="1"/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2" fillId="3" borderId="0" xfId="4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3" fillId="2" borderId="2" xfId="3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4" xfId="3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12" fillId="3" borderId="7" xfId="4" applyFont="1" applyBorder="1" applyAlignment="1">
      <alignment horizontal="center"/>
    </xf>
    <xf numFmtId="0" fontId="12" fillId="3" borderId="8" xfId="4" applyFont="1" applyBorder="1" applyAlignment="1">
      <alignment horizontal="center"/>
    </xf>
    <xf numFmtId="0" fontId="12" fillId="3" borderId="9" xfId="4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1" fillId="4" borderId="2" xfId="5" applyFont="1" applyBorder="1" applyAlignment="1">
      <alignment horizontal="center"/>
    </xf>
    <xf numFmtId="0" fontId="11" fillId="4" borderId="4" xfId="5" applyFont="1" applyBorder="1" applyAlignment="1">
      <alignment horizontal="center"/>
    </xf>
    <xf numFmtId="0" fontId="11" fillId="4" borderId="7" xfId="5" applyFont="1" applyBorder="1" applyAlignment="1">
      <alignment horizontal="center"/>
    </xf>
    <xf numFmtId="0" fontId="11" fillId="4" borderId="9" xfId="5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22" fillId="4" borderId="5" xfId="5" applyFont="1" applyBorder="1" applyAlignment="1">
      <alignment horizontal="center"/>
    </xf>
    <xf numFmtId="0" fontId="22" fillId="4" borderId="6" xfId="5" applyFont="1" applyBorder="1" applyAlignment="1">
      <alignment horizontal="center"/>
    </xf>
    <xf numFmtId="0" fontId="23" fillId="2" borderId="5" xfId="3" applyFont="1" applyBorder="1" applyAlignment="1">
      <alignment horizontal="center"/>
    </xf>
    <xf numFmtId="0" fontId="23" fillId="2" borderId="6" xfId="3" applyFont="1" applyBorder="1" applyAlignment="1">
      <alignment horizontal="center"/>
    </xf>
    <xf numFmtId="0" fontId="23" fillId="2" borderId="7" xfId="3" applyFont="1" applyBorder="1" applyAlignment="1">
      <alignment horizontal="center"/>
    </xf>
    <xf numFmtId="0" fontId="23" fillId="2" borderId="9" xfId="3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8" xfId="0" applyFill="1" applyBorder="1" applyAlignment="1">
      <alignment horizontal="center" vertical="center"/>
    </xf>
  </cellXfs>
  <cellStyles count="6">
    <cellStyle name="Bad" xfId="4" builtinId="27"/>
    <cellStyle name="Comma" xfId="1" builtinId="3"/>
    <cellStyle name="Good" xfId="3" builtinId="26"/>
    <cellStyle name="Neutral" xfId="5" builtinId="28"/>
    <cellStyle name="Normal" xfId="0" builtinId="0"/>
    <cellStyle name="Percent" xfId="2" builtinId="5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5" formatCode="_ * #,##0.00_ ;_ * \-#,##0.00_ ;_ * &quot;-&quot;??_ ;_ @_ 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theme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5A9A3D-2B49-47E4-A684-0F3EA66E0063}" name="Table8" displayName="Table8" ref="B30:L40" totalsRowShown="0" headerRowDxfId="72" dataDxfId="70" headerRowBorderDxfId="71" tableBorderDxfId="69" totalsRowBorderDxfId="68">
  <autoFilter ref="B30:L40" xr:uid="{30F4A587-C9B0-4DDE-899F-0E90EDF55196}"/>
  <tableColumns count="11">
    <tableColumn id="1" xr3:uid="{00F920D5-11D7-4E31-836F-2C6F64A5DBF8}" name="Battle Number" dataDxfId="67"/>
    <tableColumn id="2" xr3:uid="{6C8F5C36-8EAD-4474-96B3-7523D3357895}" name="p1" dataDxfId="66">
      <calculatedColumnFormula>_xlfn.FLOOR.MATH(100*RAND())/100</calculatedColumnFormula>
    </tableColumn>
    <tableColumn id="3" xr3:uid="{BC7B24F7-EF73-4A40-9AF6-8668B3DD5F15}" name="p2" dataDxfId="65">
      <calculatedColumnFormula>_xlfn.FLOOR.MATH(100*RAND())/100</calculatedColumnFormula>
    </tableColumn>
    <tableColumn id="4" xr3:uid="{BECC7575-AD00-42D6-90D4-DEFF8AA4096B}" name="p3" dataDxfId="64">
      <calculatedColumnFormula>_xlfn.FLOOR.MATH(100*RAND())/100</calculatedColumnFormula>
    </tableColumn>
    <tableColumn id="5" xr3:uid="{66173982-4589-4A54-989B-5D5CEAD976A6}" name="p4" dataDxfId="63">
      <calculatedColumnFormula>_xlfn.FLOOR.MATH(100*RAND())/100</calculatedColumnFormula>
    </tableColumn>
    <tableColumn id="6" xr3:uid="{F2900DC7-9428-4EEB-B670-74C1114F7D80}" name="p5" dataDxfId="62">
      <calculatedColumnFormula>_xlfn.FLOOR.MATH(100*RAND())/100</calculatedColumnFormula>
    </tableColumn>
    <tableColumn id="7" xr3:uid="{AA498E2E-E569-4052-807F-3CFD07E5FB27}" name="p6" dataDxfId="61">
      <calculatedColumnFormula>_xlfn.FLOOR.MATH(100*RAND())/100</calculatedColumnFormula>
    </tableColumn>
    <tableColumn id="8" xr3:uid="{2CFEE63F-D625-4B6F-8481-54081EC65321}" name="p7" dataDxfId="60">
      <calculatedColumnFormula>_xlfn.FLOOR.MATH(100*RAND())/100</calculatedColumnFormula>
    </tableColumn>
    <tableColumn id="9" xr3:uid="{A20429D7-CD52-4073-84F2-F37C972668BF}" name="p8" dataDxfId="59">
      <calculatedColumnFormula>_xlfn.FLOOR.MATH(100*RAND())/100</calculatedColumnFormula>
    </tableColumn>
    <tableColumn id="10" xr3:uid="{58B18165-1C36-4C9B-8B48-337044E8898A}" name="p9" dataDxfId="58">
      <calculatedColumnFormula>_xlfn.FLOOR.MATH(100*RAND())/100</calculatedColumnFormula>
    </tableColumn>
    <tableColumn id="11" xr3:uid="{314F6B04-46EB-45B5-9F23-B028CF1D5E2E}" name="p10" dataDxfId="57">
      <calculatedColumnFormula>_xlfn.FLOOR.MATH(100*RAND())/100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9362AB-F01D-4E86-85CD-D79D79A83BC8}" name="Table1" displayName="Table1" ref="B43:L46" totalsRowShown="0" headerRowDxfId="56" dataDxfId="55" tableBorderDxfId="54">
  <autoFilter ref="B43:L46" xr:uid="{8E155940-75A3-42F2-A4FF-BB8D500F1BAB}"/>
  <tableColumns count="11">
    <tableColumn id="1" xr3:uid="{4BCF2318-07E9-4DAA-A4C8-52BC1F5A48BA}" name="Algo O/P" dataDxfId="53"/>
    <tableColumn id="2" xr3:uid="{8BEF5704-6A78-4EF7-A925-B02AF7CEEF77}" name="Battle 1" dataDxfId="52"/>
    <tableColumn id="3" xr3:uid="{8AC36D22-ACC4-41C3-B206-088C88C486D4}" name="Battle 2" dataDxfId="51"/>
    <tableColumn id="4" xr3:uid="{E87DA69D-78DA-4511-AC18-D0B819AC4EC5}" name="Battle 3" dataDxfId="50"/>
    <tableColumn id="5" xr3:uid="{29DFC82E-C255-4B74-B2F0-BD88550755A3}" name="Battle 4" dataDxfId="49"/>
    <tableColumn id="6" xr3:uid="{9556FBEC-DAD6-49EE-8F8F-601ED243B65B}" name="Battle 5" dataDxfId="48">
      <calculatedColumnFormula>((#REF!+#REF!)*#REF!)+((#REF!+A54)*#REF!)+((B54+C54)*#REF!)</calculatedColumnFormula>
    </tableColumn>
    <tableColumn id="7" xr3:uid="{A8B9605C-4AF3-4CD1-82D8-36C45A976231}" name="Battle 6" dataDxfId="47"/>
    <tableColumn id="8" xr3:uid="{5D2B08EB-5FE4-4DDC-8A74-164872497614}" name="Battle 7" dataDxfId="46"/>
    <tableColumn id="9" xr3:uid="{769C1A61-1303-4128-A2EB-F5C5B90BF327}" name="Battle 8" dataDxfId="45"/>
    <tableColumn id="10" xr3:uid="{A12BCCC0-FF18-40EB-97C6-CC50A153961B}" name="Battle 9" dataDxfId="44"/>
    <tableColumn id="11" xr3:uid="{59697970-C5FC-49E3-A20E-9FE5AD7FA1A4}" name="Battle 10" dataDxfId="4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460013-017D-4581-80AC-49E054500C62}" name="Table3" displayName="Table3" ref="C5:J14" totalsRowShown="0" headerRowDxfId="42" dataDxfId="41" tableBorderDxfId="40" dataCellStyle="Good">
  <autoFilter ref="C5:J14" xr:uid="{D31A5AE3-A220-464B-A50D-06A8751B2484}"/>
  <tableColumns count="8">
    <tableColumn id="1" xr3:uid="{FFD38DB3-5C7D-495D-9C45-B123AF6DC5A8}" name="Class ID" dataDxfId="39">
      <calculatedColumnFormula>CODE(D6)</calculatedColumnFormula>
    </tableColumn>
    <tableColumn id="2" xr3:uid="{5EEA2BE3-FE0B-4178-874B-9046F1E435DA}" name="Class Type" dataDxfId="38" dataCellStyle="Neutral"/>
    <tableColumn id="3" xr3:uid="{BEE654BE-6934-4850-AFAD-D29F9C32D225}" name="LB " dataDxfId="37" dataCellStyle="Comma"/>
    <tableColumn id="4" xr3:uid="{5E1B87AA-9927-4DB1-82F5-7AB501574486}" name="UB" dataDxfId="36" dataCellStyle="Comma"/>
    <tableColumn id="5" xr3:uid="{7727140E-DF53-4B5D-BC2F-53F907199C38}" name="LB" dataDxfId="35" dataCellStyle="Comma"/>
    <tableColumn id="6" xr3:uid="{6D834EE5-06D3-4F1A-AF42-0A7A81196091}" name="UB2" dataDxfId="34" dataCellStyle="Comma"/>
    <tableColumn id="7" xr3:uid="{73AAAC90-0B39-4A35-8284-492D1EB368D1}" name="LB3" dataDxfId="33" dataCellStyle="Comma"/>
    <tableColumn id="8" xr3:uid="{D7C8D259-B24B-403B-AFFE-E15FF0D66DEA}" name="UB4" dataDxfId="32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BA3444-EE6C-485A-8278-9F1FAD2237C1}" name="Table4" displayName="Table4" ref="C5:N11" totalsRowShown="0" headerRowDxfId="31" dataDxfId="29" headerRowBorderDxfId="30" tableBorderDxfId="28" dataCellStyle="Comma">
  <autoFilter ref="C5:N11" xr:uid="{05D35574-81C3-4733-BEA5-9D898EFC1743}"/>
  <sortState ref="C6:N11">
    <sortCondition ref="C5:C11"/>
  </sortState>
  <tableColumns count="12">
    <tableColumn id="1" xr3:uid="{4781AA3D-89E5-4333-88C2-8D20BFDDE2BD}" name="Sr. No." dataDxfId="27">
      <calculatedColumnFormula>CODE(Table4[[#This Row],[Class Type]])</calculatedColumnFormula>
    </tableColumn>
    <tableColumn id="2" xr3:uid="{8124DC45-1927-490D-9346-18F5ECCA6501}" name="Class Type" dataDxfId="26" dataCellStyle="Neutral"/>
    <tableColumn id="3" xr3:uid="{4EA89148-207F-4F84-9335-FA4047F1F99B}" name="LB " dataDxfId="25" dataCellStyle="Comma"/>
    <tableColumn id="4" xr3:uid="{D5FD7FA3-4F83-4D81-A715-9DDF73856EE2}" name="UB" dataDxfId="24" dataCellStyle="Comma"/>
    <tableColumn id="5" xr3:uid="{52BFCAD5-7F57-4802-A207-E717887A2104}" name="LB" dataDxfId="23" dataCellStyle="Comma"/>
    <tableColumn id="6" xr3:uid="{F3B848B5-571E-4AB1-BEF4-E339AE8BC5D5}" name="UB2" dataDxfId="22" dataCellStyle="Comma"/>
    <tableColumn id="7" xr3:uid="{A53CF82C-D11E-45B6-8B33-A6280EA8242B}" name="LB3" dataDxfId="21" dataCellStyle="Comma"/>
    <tableColumn id="8" xr3:uid="{6A1BAD2D-B4A1-4D52-8623-93898685B85C}" name="UB4" dataDxfId="20" dataCellStyle="Comma"/>
    <tableColumn id="9" xr3:uid="{4CF0CBF2-1A82-4FC3-AF09-9D2D8BA46972}" name="LB 5" dataDxfId="19" dataCellStyle="Comma"/>
    <tableColumn id="10" xr3:uid="{E8DBA62E-78A2-4460-B137-A63951247C82}" name="UB6" dataDxfId="18" dataCellStyle="Comma"/>
    <tableColumn id="11" xr3:uid="{5647B333-318D-4E2F-A340-137F1ABB350E}" name="LB7" dataDxfId="17" dataCellStyle="Comma"/>
    <tableColumn id="12" xr3:uid="{17524D7F-5D4E-410C-82AF-962A03315E02}" name="UB8" dataDxfId="16" dataCellStyle="Comm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404849-F48A-44C0-8A40-70C0C02DC980}" name="Table5" displayName="Table5" ref="C16:N22" totalsRowShown="0" headerRowDxfId="15" dataDxfId="13" headerRowBorderDxfId="14" tableBorderDxfId="12" dataCellStyle="Comma">
  <autoFilter ref="C16:N22" xr:uid="{8174871A-1E95-49A7-91FA-9E950F81CB9B}"/>
  <sortState ref="C17:N22">
    <sortCondition ref="C16:C22"/>
  </sortState>
  <tableColumns count="12">
    <tableColumn id="1" xr3:uid="{80744823-BEF0-4402-AA81-B24A9F0E4A8D}" name="Sr. No." dataDxfId="11">
      <calculatedColumnFormula>CODE(Table5[[#This Row],[Class Type]])</calculatedColumnFormula>
    </tableColumn>
    <tableColumn id="2" xr3:uid="{D1EF7506-DE8C-4A6D-A2B3-5C764BF3619E}" name="Class Type" dataDxfId="10" dataCellStyle="Neutral"/>
    <tableColumn id="3" xr3:uid="{861656E5-0174-4ADA-A046-68DFC808A473}" name="LB " dataDxfId="9" dataCellStyle="Comma"/>
    <tableColumn id="4" xr3:uid="{ED9DC943-D594-40B1-BCB4-4474943DFAF5}" name="UB" dataDxfId="8" dataCellStyle="Comma"/>
    <tableColumn id="5" xr3:uid="{AF18D181-4EE5-4674-9AED-563005F5434A}" name="LB" dataDxfId="7" dataCellStyle="Comma"/>
    <tableColumn id="6" xr3:uid="{52380CD7-767D-4AB3-ACD1-1E2F71B8CA71}" name="UB2" dataDxfId="6" dataCellStyle="Comma"/>
    <tableColumn id="7" xr3:uid="{A348A2E5-A7A3-462B-B0BE-9BFF2A74F662}" name="LB3" dataDxfId="5" dataCellStyle="Comma"/>
    <tableColumn id="8" xr3:uid="{B06FF46A-1329-4243-8AC2-D8ABC7AEBB7F}" name="UB4" dataDxfId="4" dataCellStyle="Comma"/>
    <tableColumn id="9" xr3:uid="{B89BB34B-9FC1-45BD-AE5A-BF0E1B37BB1E}" name="LB 5" dataDxfId="3" dataCellStyle="Comma"/>
    <tableColumn id="10" xr3:uid="{BD35B7BC-8459-44A8-9034-0A1695BC0FAD}" name="UB6" dataDxfId="2" dataCellStyle="Comma"/>
    <tableColumn id="11" xr3:uid="{EDE657A2-55DC-4E6C-89E3-38BF7A5EB96B}" name="LB7" dataDxfId="1" dataCellStyle="Comma"/>
    <tableColumn id="12" xr3:uid="{2FE4F7CF-D115-437D-92FE-A231B0F1AB94}" name="UB8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AFE88-5F79-43A3-8463-6C8D9FB790A1}">
  <sheetPr codeName="Sheet5"/>
  <dimension ref="C2:M7"/>
  <sheetViews>
    <sheetView workbookViewId="0">
      <selection activeCell="E19" sqref="E19:G19"/>
    </sheetView>
  </sheetViews>
  <sheetFormatPr defaultRowHeight="14.4" x14ac:dyDescent="0.3"/>
  <sheetData>
    <row r="2" spans="3:13" ht="15" thickBot="1" x14ac:dyDescent="0.35"/>
    <row r="3" spans="3:13" ht="15" thickBot="1" x14ac:dyDescent="0.35">
      <c r="C3" s="126" t="s">
        <v>108</v>
      </c>
      <c r="D3" s="127"/>
      <c r="E3" s="127"/>
      <c r="F3" s="127"/>
      <c r="G3" s="127"/>
      <c r="H3" s="127"/>
      <c r="I3" s="127"/>
      <c r="J3" s="127"/>
      <c r="K3" s="127"/>
      <c r="L3" s="127"/>
      <c r="M3" s="128"/>
    </row>
    <row r="4" spans="3:13" x14ac:dyDescent="0.3">
      <c r="C4" s="79">
        <v>1</v>
      </c>
      <c r="D4" s="129" t="s">
        <v>109</v>
      </c>
      <c r="E4" s="130"/>
      <c r="F4" s="130"/>
      <c r="G4" s="130"/>
      <c r="H4" s="130"/>
      <c r="I4" s="130"/>
      <c r="J4" s="130"/>
      <c r="K4" s="130"/>
      <c r="L4" s="130"/>
      <c r="M4" s="131"/>
    </row>
    <row r="5" spans="3:13" x14ac:dyDescent="0.3">
      <c r="C5" s="71">
        <v>2</v>
      </c>
      <c r="D5" s="132" t="s">
        <v>110</v>
      </c>
      <c r="E5" s="133"/>
      <c r="F5" s="133"/>
      <c r="G5" s="133"/>
      <c r="H5" s="133"/>
      <c r="I5" s="133"/>
      <c r="J5" s="133"/>
      <c r="K5" s="133"/>
      <c r="L5" s="133"/>
      <c r="M5" s="134"/>
    </row>
    <row r="6" spans="3:13" x14ac:dyDescent="0.3">
      <c r="C6" s="71">
        <v>3</v>
      </c>
      <c r="D6" s="132" t="s">
        <v>111</v>
      </c>
      <c r="E6" s="133"/>
      <c r="F6" s="133"/>
      <c r="G6" s="133"/>
      <c r="H6" s="133"/>
      <c r="I6" s="133"/>
      <c r="J6" s="133"/>
      <c r="K6" s="133"/>
      <c r="L6" s="133"/>
      <c r="M6" s="134"/>
    </row>
    <row r="7" spans="3:13" ht="15" thickBot="1" x14ac:dyDescent="0.35">
      <c r="C7" s="72">
        <v>4</v>
      </c>
      <c r="D7" s="135" t="s">
        <v>112</v>
      </c>
      <c r="E7" s="136"/>
      <c r="F7" s="136"/>
      <c r="G7" s="136"/>
      <c r="H7" s="136"/>
      <c r="I7" s="136"/>
      <c r="J7" s="136"/>
      <c r="K7" s="136"/>
      <c r="L7" s="136"/>
      <c r="M7" s="137"/>
    </row>
  </sheetData>
  <mergeCells count="5">
    <mergeCell ref="C3:M3"/>
    <mergeCell ref="D4:M4"/>
    <mergeCell ref="D5:M5"/>
    <mergeCell ref="D6:M6"/>
    <mergeCell ref="D7:M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94B4-59C9-41D6-A738-66B373B7A72F}">
  <sheetPr codeName="Sheet2"/>
  <dimension ref="B1:R24"/>
  <sheetViews>
    <sheetView tabSelected="1" workbookViewId="0">
      <selection activeCell="C13" sqref="C13"/>
    </sheetView>
  </sheetViews>
  <sheetFormatPr defaultRowHeight="14.4" x14ac:dyDescent="0.3"/>
  <cols>
    <col min="2" max="2" width="19.5546875" bestFit="1" customWidth="1"/>
    <col min="3" max="3" width="10.33203125" bestFit="1" customWidth="1"/>
  </cols>
  <sheetData>
    <row r="1" spans="2:18" ht="15" thickBot="1" x14ac:dyDescent="0.35"/>
    <row r="2" spans="2:18" ht="15" thickBot="1" x14ac:dyDescent="0.35">
      <c r="B2" s="138" t="s">
        <v>104</v>
      </c>
      <c r="C2" s="139"/>
      <c r="D2" s="140"/>
    </row>
    <row r="3" spans="2:18" ht="15" thickBot="1" x14ac:dyDescent="0.35">
      <c r="B3" s="6"/>
      <c r="C3" s="7" t="s">
        <v>103</v>
      </c>
      <c r="D3" s="8" t="s">
        <v>105</v>
      </c>
    </row>
    <row r="4" spans="2:18" x14ac:dyDescent="0.3">
      <c r="B4" s="74" t="s">
        <v>5</v>
      </c>
      <c r="C4" s="75">
        <v>6</v>
      </c>
      <c r="D4" s="77">
        <v>100</v>
      </c>
      <c r="J4" s="142" t="s">
        <v>107</v>
      </c>
      <c r="K4" s="142"/>
      <c r="L4" s="142"/>
      <c r="M4" s="142"/>
      <c r="N4" s="142"/>
      <c r="O4" s="142"/>
      <c r="P4" s="142"/>
      <c r="Q4" s="142"/>
    </row>
    <row r="5" spans="2:18" ht="15" thickBot="1" x14ac:dyDescent="0.35">
      <c r="B5" s="73" t="s">
        <v>6</v>
      </c>
      <c r="C5" s="76">
        <v>6</v>
      </c>
      <c r="D5" s="78">
        <v>100</v>
      </c>
    </row>
    <row r="6" spans="2:18" ht="15" thickBot="1" x14ac:dyDescent="0.35"/>
    <row r="7" spans="2:18" ht="15" thickBot="1" x14ac:dyDescent="0.35">
      <c r="B7" s="158" t="s">
        <v>7</v>
      </c>
      <c r="C7" s="159"/>
      <c r="D7" s="159"/>
      <c r="E7" s="159"/>
      <c r="F7" s="159"/>
      <c r="G7" s="160"/>
    </row>
    <row r="8" spans="2:18" ht="15" thickBot="1" x14ac:dyDescent="0.35">
      <c r="B8" s="11"/>
      <c r="C8" s="10" t="s">
        <v>0</v>
      </c>
      <c r="D8" s="10" t="s">
        <v>1</v>
      </c>
      <c r="E8" s="10" t="s">
        <v>2</v>
      </c>
      <c r="F8" s="10" t="s">
        <v>3</v>
      </c>
      <c r="G8" s="10" t="s">
        <v>4</v>
      </c>
    </row>
    <row r="9" spans="2:18" ht="15" thickBot="1" x14ac:dyDescent="0.35">
      <c r="B9" s="20" t="s">
        <v>5</v>
      </c>
      <c r="C9" s="1">
        <v>60</v>
      </c>
      <c r="D9" s="1">
        <v>20</v>
      </c>
      <c r="E9" s="1">
        <v>20</v>
      </c>
      <c r="F9" s="1">
        <v>0</v>
      </c>
      <c r="G9" s="1">
        <v>0</v>
      </c>
      <c r="H9" s="80">
        <f>SUM(C9:G9)</f>
        <v>100</v>
      </c>
    </row>
    <row r="10" spans="2:18" ht="15" thickBot="1" x14ac:dyDescent="0.35">
      <c r="B10" s="19" t="s">
        <v>6</v>
      </c>
      <c r="C10" s="1">
        <v>50</v>
      </c>
      <c r="D10" s="1">
        <v>15</v>
      </c>
      <c r="E10" s="1">
        <v>35</v>
      </c>
      <c r="F10" s="1">
        <v>0</v>
      </c>
      <c r="G10" s="1">
        <v>0</v>
      </c>
      <c r="H10" s="81">
        <f>SUM(C10:G10)</f>
        <v>100</v>
      </c>
    </row>
    <row r="12" spans="2:18" ht="15" thickBot="1" x14ac:dyDescent="0.35"/>
    <row r="13" spans="2:18" ht="15" thickBot="1" x14ac:dyDescent="0.35">
      <c r="N13" s="149" t="s">
        <v>98</v>
      </c>
      <c r="O13" s="150"/>
      <c r="P13" s="150"/>
      <c r="Q13" s="151"/>
    </row>
    <row r="14" spans="2:18" ht="15" thickBot="1" x14ac:dyDescent="0.35">
      <c r="N14" s="138" t="s">
        <v>99</v>
      </c>
      <c r="O14" s="140"/>
      <c r="P14" s="13">
        <f ca="1">(COUNTIF('Calculator Sheet'!C46:L46,1))/10</f>
        <v>0.7</v>
      </c>
      <c r="Q14" s="70" t="b">
        <f ca="1">IF(P14&gt;0.5,TRUE,IF(P14=0.5,0,FALSE))</f>
        <v>1</v>
      </c>
    </row>
    <row r="15" spans="2:18" x14ac:dyDescent="0.3">
      <c r="B15" s="17" t="s">
        <v>51</v>
      </c>
      <c r="C15" s="161" t="s">
        <v>9</v>
      </c>
      <c r="D15" s="162"/>
    </row>
    <row r="16" spans="2:18" ht="15" thickBot="1" x14ac:dyDescent="0.35">
      <c r="B16" s="18" t="s">
        <v>52</v>
      </c>
      <c r="C16" s="163" t="s">
        <v>57</v>
      </c>
      <c r="D16" s="164"/>
      <c r="P16" s="141" t="str">
        <f ca="1">IF(P14&gt;0.5,'Calculator Sheet'!N16,'Calculator Sheet'!N17)</f>
        <v>Player 1 Wins!</v>
      </c>
      <c r="Q16" s="141"/>
      <c r="R16" s="141"/>
    </row>
    <row r="18" spans="2:7" ht="15" thickBot="1" x14ac:dyDescent="0.35"/>
    <row r="19" spans="2:7" x14ac:dyDescent="0.3">
      <c r="B19" s="143" t="s">
        <v>71</v>
      </c>
      <c r="C19" s="144"/>
      <c r="D19" s="145"/>
      <c r="E19" s="146" t="s">
        <v>72</v>
      </c>
      <c r="F19" s="147"/>
      <c r="G19" s="148"/>
    </row>
    <row r="20" spans="2:7" ht="15" thickBot="1" x14ac:dyDescent="0.35">
      <c r="B20" s="152" t="s">
        <v>75</v>
      </c>
      <c r="C20" s="153"/>
      <c r="D20" s="154"/>
      <c r="E20" s="155" t="s">
        <v>73</v>
      </c>
      <c r="F20" s="156"/>
      <c r="G20" s="157"/>
    </row>
    <row r="22" spans="2:7" ht="15" thickBot="1" x14ac:dyDescent="0.35"/>
    <row r="23" spans="2:7" x14ac:dyDescent="0.3">
      <c r="B23" s="143" t="s">
        <v>74</v>
      </c>
      <c r="C23" s="144"/>
      <c r="D23" s="145"/>
      <c r="E23" s="146" t="s">
        <v>72</v>
      </c>
      <c r="F23" s="147"/>
      <c r="G23" s="148"/>
    </row>
    <row r="24" spans="2:7" ht="15" thickBot="1" x14ac:dyDescent="0.35">
      <c r="B24" s="152" t="s">
        <v>76</v>
      </c>
      <c r="C24" s="153"/>
      <c r="D24" s="154"/>
      <c r="E24" s="155" t="s">
        <v>73</v>
      </c>
      <c r="F24" s="156"/>
      <c r="G24" s="157"/>
    </row>
  </sheetData>
  <mergeCells count="16">
    <mergeCell ref="B24:D24"/>
    <mergeCell ref="E24:G24"/>
    <mergeCell ref="B7:G7"/>
    <mergeCell ref="C15:D15"/>
    <mergeCell ref="C16:D16"/>
    <mergeCell ref="B19:D19"/>
    <mergeCell ref="E19:G19"/>
    <mergeCell ref="B20:D20"/>
    <mergeCell ref="E20:G20"/>
    <mergeCell ref="B2:D2"/>
    <mergeCell ref="P16:R16"/>
    <mergeCell ref="J4:Q4"/>
    <mergeCell ref="B23:D23"/>
    <mergeCell ref="E23:G23"/>
    <mergeCell ref="N14:O14"/>
    <mergeCell ref="N13:Q13"/>
  </mergeCells>
  <dataValidations count="4">
    <dataValidation type="list" allowBlank="1" showInputMessage="1" showErrorMessage="1" sqref="E19 E23" xr:uid="{362153BA-2230-4F4A-9F04-01FC20AAD38E}">
      <formula1>potions</formula1>
    </dataValidation>
    <dataValidation type="list" allowBlank="1" showInputMessage="1" showErrorMessage="1" sqref="E20 E24" xr:uid="{BF77D143-56DE-4E33-9C8C-038BFD95A0F2}">
      <formula1>poisons</formula1>
    </dataValidation>
    <dataValidation type="whole" operator="equal" allowBlank="1" showInputMessage="1" showErrorMessage="1" sqref="H10" xr:uid="{C373E1C3-8DF7-4CC7-B14A-3AB7A5734923}">
      <formula1>D5</formula1>
    </dataValidation>
    <dataValidation type="whole" operator="equal" showInputMessage="1" showErrorMessage="1" sqref="H9" xr:uid="{522A9F7D-E962-4ABD-84A3-392209A9CBA7}">
      <formula1>D4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7E6403-4909-4E20-A0BE-85D1A166B042}">
          <x14:formula1>
            <xm:f>'Class Modifiers'!$D$6:$D$14</xm:f>
          </x14:formula1>
          <xm:sqref>C16</xm:sqref>
        </x14:dataValidation>
        <x14:dataValidation type="list" allowBlank="1" showInputMessage="1" showErrorMessage="1" promptTitle="Class Selection" prompt="Input the class of Player 1" xr:uid="{7F24405F-06A2-46D0-B2A1-F21268B82EFE}">
          <x14:formula1>
            <xm:f>'Class Modifiers'!$D$6:$D$14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9"/>
  <sheetViews>
    <sheetView topLeftCell="A28" workbookViewId="0">
      <selection activeCell="G32" sqref="G32"/>
    </sheetView>
  </sheetViews>
  <sheetFormatPr defaultRowHeight="13.8" x14ac:dyDescent="0.25"/>
  <cols>
    <col min="1" max="1" width="8.88671875" style="89"/>
    <col min="2" max="2" width="17.77734375" style="89" bestFit="1" customWidth="1"/>
    <col min="3" max="8" width="12" style="89" bestFit="1" customWidth="1"/>
    <col min="9" max="9" width="10.6640625" style="89" customWidth="1"/>
    <col min="10" max="10" width="12.21875" style="89" customWidth="1"/>
    <col min="11" max="15" width="12" style="89" bestFit="1" customWidth="1"/>
    <col min="16" max="16" width="9.33203125" style="89" customWidth="1"/>
    <col min="17" max="16384" width="8.88671875" style="89"/>
  </cols>
  <sheetData>
    <row r="1" spans="1:17" ht="14.4" thickBot="1" x14ac:dyDescent="0.3">
      <c r="J1" s="90"/>
      <c r="K1" s="90"/>
      <c r="L1" s="90"/>
      <c r="M1" s="90"/>
      <c r="N1" s="90"/>
      <c r="O1" s="90"/>
      <c r="P1" s="90"/>
    </row>
    <row r="2" spans="1:17" ht="14.4" thickBot="1" x14ac:dyDescent="0.3">
      <c r="B2" s="172" t="s">
        <v>55</v>
      </c>
      <c r="C2" s="173"/>
      <c r="D2" s="168" t="str">
        <f>'Player Input'!C15</f>
        <v>Barbarian</v>
      </c>
      <c r="E2" s="169"/>
      <c r="F2" s="91">
        <f>CODE(D2)</f>
        <v>66</v>
      </c>
      <c r="L2" s="165" t="s">
        <v>54</v>
      </c>
      <c r="M2" s="166"/>
      <c r="N2" s="166"/>
      <c r="O2" s="166"/>
      <c r="P2" s="166"/>
      <c r="Q2" s="167"/>
    </row>
    <row r="3" spans="1:17" ht="14.4" thickBot="1" x14ac:dyDescent="0.3">
      <c r="B3" s="174" t="s">
        <v>56</v>
      </c>
      <c r="C3" s="175"/>
      <c r="D3" s="170" t="str">
        <f>'Player Input'!C16</f>
        <v>Templar</v>
      </c>
      <c r="E3" s="171"/>
      <c r="F3" s="92">
        <f>CODE(D3)</f>
        <v>84</v>
      </c>
      <c r="L3" s="93"/>
      <c r="M3" s="94" t="s">
        <v>0</v>
      </c>
      <c r="N3" s="94" t="s">
        <v>1</v>
      </c>
      <c r="O3" s="94" t="s">
        <v>2</v>
      </c>
      <c r="P3" s="94" t="s">
        <v>3</v>
      </c>
      <c r="Q3" s="94" t="s">
        <v>4</v>
      </c>
    </row>
    <row r="4" spans="1:17" ht="14.4" thickBot="1" x14ac:dyDescent="0.3">
      <c r="L4" s="95" t="s">
        <v>5</v>
      </c>
      <c r="M4" s="96">
        <f ca="1">D22</f>
        <v>70.8</v>
      </c>
      <c r="N4" s="96">
        <f ca="1">H22</f>
        <v>20</v>
      </c>
      <c r="O4" s="96">
        <f ca="1">F22</f>
        <v>19.8</v>
      </c>
      <c r="P4" s="96">
        <f ca="1">J22</f>
        <v>0</v>
      </c>
      <c r="Q4" s="96">
        <f ca="1">L22</f>
        <v>0</v>
      </c>
    </row>
    <row r="5" spans="1:17" ht="14.4" thickBot="1" x14ac:dyDescent="0.3">
      <c r="B5" s="165" t="s">
        <v>7</v>
      </c>
      <c r="C5" s="166"/>
      <c r="D5" s="166"/>
      <c r="E5" s="166"/>
      <c r="F5" s="166"/>
      <c r="G5" s="167"/>
      <c r="L5" s="95" t="s">
        <v>6</v>
      </c>
      <c r="M5" s="96">
        <f ca="1">D23</f>
        <v>51</v>
      </c>
      <c r="N5" s="96">
        <f ca="1">H23</f>
        <v>15</v>
      </c>
      <c r="O5" s="96">
        <f ca="1">F23</f>
        <v>36.4</v>
      </c>
      <c r="P5" s="96">
        <f ca="1">J23</f>
        <v>0</v>
      </c>
      <c r="Q5" s="96">
        <f ca="1">L23</f>
        <v>0</v>
      </c>
    </row>
    <row r="6" spans="1:17" ht="14.4" thickBot="1" x14ac:dyDescent="0.3">
      <c r="B6" s="93"/>
      <c r="C6" s="94" t="s">
        <v>0</v>
      </c>
      <c r="D6" s="94" t="s">
        <v>1</v>
      </c>
      <c r="E6" s="94" t="s">
        <v>2</v>
      </c>
      <c r="F6" s="94" t="s">
        <v>3</v>
      </c>
      <c r="G6" s="94" t="s">
        <v>4</v>
      </c>
      <c r="J6" s="97"/>
    </row>
    <row r="7" spans="1:17" ht="14.4" thickBot="1" x14ac:dyDescent="0.3">
      <c r="B7" s="95" t="s">
        <v>5</v>
      </c>
      <c r="C7" s="96">
        <f>'Player Input'!C9</f>
        <v>60</v>
      </c>
      <c r="D7" s="96">
        <f>'Player Input'!D9</f>
        <v>20</v>
      </c>
      <c r="E7" s="96">
        <f>'Player Input'!E9</f>
        <v>20</v>
      </c>
      <c r="F7" s="96">
        <f>'Player Input'!F9</f>
        <v>0</v>
      </c>
      <c r="G7" s="96">
        <f>'Player Input'!G9</f>
        <v>0</v>
      </c>
      <c r="L7" s="172" t="s">
        <v>78</v>
      </c>
      <c r="M7" s="173"/>
      <c r="N7" s="176" t="str">
        <f>'Player Input'!E19</f>
        <v>No Potion</v>
      </c>
      <c r="O7" s="169"/>
      <c r="P7" s="98">
        <f>CODE(N7)</f>
        <v>78</v>
      </c>
    </row>
    <row r="8" spans="1:17" ht="14.4" thickBot="1" x14ac:dyDescent="0.3">
      <c r="B8" s="95" t="s">
        <v>6</v>
      </c>
      <c r="C8" s="96">
        <f>'Player Input'!C10</f>
        <v>50</v>
      </c>
      <c r="D8" s="96">
        <f>'Player Input'!D10</f>
        <v>15</v>
      </c>
      <c r="E8" s="96">
        <f>'Player Input'!E10</f>
        <v>35</v>
      </c>
      <c r="F8" s="96">
        <f>'Player Input'!F10</f>
        <v>0</v>
      </c>
      <c r="G8" s="96">
        <f>'Player Input'!G10</f>
        <v>0</v>
      </c>
      <c r="L8" s="174" t="s">
        <v>77</v>
      </c>
      <c r="M8" s="175"/>
      <c r="N8" s="177" t="str">
        <f>'Player Input'!E23</f>
        <v>No Potion</v>
      </c>
      <c r="O8" s="171"/>
      <c r="P8" s="99">
        <f>CODE(N8)</f>
        <v>78</v>
      </c>
    </row>
    <row r="9" spans="1:17" ht="14.4" thickBot="1" x14ac:dyDescent="0.3">
      <c r="J9" s="97"/>
    </row>
    <row r="10" spans="1:17" ht="14.4" thickBot="1" x14ac:dyDescent="0.3">
      <c r="B10" s="165" t="s">
        <v>64</v>
      </c>
      <c r="C10" s="166"/>
      <c r="D10" s="166"/>
      <c r="E10" s="166"/>
      <c r="F10" s="166"/>
      <c r="G10" s="166"/>
      <c r="H10" s="167"/>
      <c r="J10" s="97"/>
      <c r="K10" s="100"/>
      <c r="L10" s="179" t="s">
        <v>85</v>
      </c>
      <c r="M10" s="180"/>
      <c r="N10" s="181" t="str">
        <f>'Player Input'!E20</f>
        <v>No Poison</v>
      </c>
      <c r="O10" s="182"/>
      <c r="P10" s="96">
        <f>CODE(N10)</f>
        <v>78</v>
      </c>
    </row>
    <row r="11" spans="1:17" ht="14.4" thickBot="1" x14ac:dyDescent="0.3">
      <c r="A11" s="101"/>
      <c r="B11" s="93"/>
      <c r="C11" s="102" t="s">
        <v>0</v>
      </c>
      <c r="D11" s="102" t="s">
        <v>61</v>
      </c>
      <c r="E11" s="102" t="s">
        <v>2</v>
      </c>
      <c r="F11" s="102" t="s">
        <v>63</v>
      </c>
      <c r="G11" s="102" t="s">
        <v>1</v>
      </c>
      <c r="H11" s="103" t="s">
        <v>62</v>
      </c>
      <c r="I11" s="101"/>
      <c r="J11" s="97"/>
      <c r="K11" s="100"/>
      <c r="L11" s="179" t="s">
        <v>86</v>
      </c>
      <c r="M11" s="180"/>
      <c r="N11" s="181" t="str">
        <f>'Player Input'!E24</f>
        <v>No Poison</v>
      </c>
      <c r="O11" s="182"/>
      <c r="P11" s="96">
        <f>CODE(N11)</f>
        <v>78</v>
      </c>
    </row>
    <row r="12" spans="1:17" ht="14.4" thickBot="1" x14ac:dyDescent="0.3">
      <c r="A12" s="104"/>
      <c r="B12" s="95" t="s">
        <v>5</v>
      </c>
      <c r="C12" s="96">
        <f>'Player Input'!C9</f>
        <v>60</v>
      </c>
      <c r="D12" s="96">
        <f ca="1">C12+C12*0.01*RANDBETWEEN(INDEX(Table3[],MATCH(F2,classid,0),3),INDEX(Table3[],MATCH(F2,classid,0),4))</f>
        <v>70.8</v>
      </c>
      <c r="E12" s="96">
        <f>E7</f>
        <v>20</v>
      </c>
      <c r="F12" s="96">
        <f ca="1">E12+E12*0.01*RANDBETWEEN(INDEX(Table3[],MATCH(F2,classid,0),5),INDEX(Table3[],MATCH(F2,classid,0),6))</f>
        <v>19.8</v>
      </c>
      <c r="G12" s="96">
        <f>D7</f>
        <v>20</v>
      </c>
      <c r="H12" s="105">
        <f ca="1">G12+G12*0.01*RANDBETWEEN(INDEX(Table3[],MATCH(F2,classid,0),7),INDEX(Table3[],MATCH(F2,classid,0),8))</f>
        <v>20</v>
      </c>
      <c r="I12" s="101"/>
      <c r="J12" s="97"/>
      <c r="K12" s="100"/>
      <c r="L12" s="100"/>
      <c r="M12" s="100"/>
      <c r="N12" s="100"/>
      <c r="O12" s="100"/>
      <c r="P12" s="100"/>
    </row>
    <row r="13" spans="1:17" ht="14.4" thickBot="1" x14ac:dyDescent="0.3">
      <c r="A13" s="104"/>
      <c r="B13" s="95" t="s">
        <v>6</v>
      </c>
      <c r="C13" s="96">
        <f>C8</f>
        <v>50</v>
      </c>
      <c r="D13" s="96">
        <f ca="1">C13+C13*0.01*RANDBETWEEN(INDEX(Table3[],MATCH(F3,classid,0),3),INDEX(Table3[],MATCH(F3,classid,0),4))</f>
        <v>51</v>
      </c>
      <c r="E13" s="96">
        <f>E8</f>
        <v>35</v>
      </c>
      <c r="F13" s="96">
        <f ca="1">E13+E13*0.01*RANDBETWEEN(INDEX(Table3[],MATCH(F3,classid,0),5),INDEX(Table3[],MATCH(F3,classid,0),6))</f>
        <v>36.4</v>
      </c>
      <c r="G13" s="96">
        <f>D8</f>
        <v>15</v>
      </c>
      <c r="H13" s="105">
        <f ca="1">G13+G13*0.01*RANDBETWEEN(INDEX(Table3[],MATCH(F3,classid,0),7),INDEX(Table3[],MATCH(F3,classid,0),8))</f>
        <v>15</v>
      </c>
      <c r="I13" s="101"/>
      <c r="J13" s="97"/>
      <c r="K13" s="100"/>
      <c r="L13" s="100"/>
      <c r="M13" s="100"/>
      <c r="N13" s="100"/>
      <c r="O13" s="100"/>
      <c r="P13" s="100"/>
    </row>
    <row r="14" spans="1:17" ht="14.4" thickBot="1" x14ac:dyDescent="0.3">
      <c r="A14" s="104"/>
      <c r="C14" s="100"/>
      <c r="D14" s="100"/>
      <c r="E14" s="100"/>
      <c r="F14" s="100"/>
      <c r="G14" s="100"/>
      <c r="H14" s="101"/>
      <c r="I14" s="101"/>
      <c r="N14" s="189" t="s">
        <v>102</v>
      </c>
      <c r="O14" s="190"/>
    </row>
    <row r="15" spans="1:17" ht="14.4" thickBot="1" x14ac:dyDescent="0.3">
      <c r="A15" s="104"/>
      <c r="B15" s="165" t="s">
        <v>66</v>
      </c>
      <c r="C15" s="166"/>
      <c r="D15" s="166"/>
      <c r="E15" s="166"/>
      <c r="F15" s="166"/>
      <c r="G15" s="166"/>
      <c r="H15" s="166"/>
      <c r="I15" s="178"/>
      <c r="J15" s="178"/>
      <c r="K15" s="178"/>
      <c r="L15" s="173"/>
      <c r="N15" s="183" t="s">
        <v>100</v>
      </c>
      <c r="O15" s="184"/>
      <c r="P15" s="106"/>
    </row>
    <row r="16" spans="1:17" ht="14.4" thickBot="1" x14ac:dyDescent="0.3">
      <c r="A16" s="104"/>
      <c r="B16" s="93"/>
      <c r="C16" s="102" t="s">
        <v>0</v>
      </c>
      <c r="D16" s="102" t="s">
        <v>61</v>
      </c>
      <c r="E16" s="102" t="s">
        <v>2</v>
      </c>
      <c r="F16" s="102" t="s">
        <v>63</v>
      </c>
      <c r="G16" s="102" t="s">
        <v>1</v>
      </c>
      <c r="H16" s="107" t="s">
        <v>62</v>
      </c>
      <c r="I16" s="108" t="s">
        <v>3</v>
      </c>
      <c r="J16" s="108" t="s">
        <v>82</v>
      </c>
      <c r="K16" s="108" t="s">
        <v>4</v>
      </c>
      <c r="L16" s="108" t="s">
        <v>83</v>
      </c>
      <c r="N16" s="185" t="s">
        <v>101</v>
      </c>
      <c r="O16" s="186"/>
    </row>
    <row r="17" spans="1:15" ht="14.4" thickBot="1" x14ac:dyDescent="0.3">
      <c r="A17" s="104"/>
      <c r="B17" s="95" t="s">
        <v>5</v>
      </c>
      <c r="C17" s="96">
        <f ca="1">D12</f>
        <v>70.8</v>
      </c>
      <c r="D17" s="96">
        <f ca="1">C17+C17*0.01*RANDBETWEEN(INDEX(Table4[],MATCH(P7,Table4[Sr. No.],0),3),INDEX(Table4[],MATCH(P7,Table4[Sr. No.],0),4))</f>
        <v>70.8</v>
      </c>
      <c r="E17" s="96">
        <f ca="1">F12</f>
        <v>19.8</v>
      </c>
      <c r="F17" s="96">
        <f ca="1">E17+E17*0.01*RANDBETWEEN(INDEX(Table4[],MATCH(P7,Table4[Sr. No.],0),5),INDEX(Table4[],MATCH(P7,Table4[Sr. No.],0),6))</f>
        <v>19.8</v>
      </c>
      <c r="G17" s="96">
        <f ca="1">H12</f>
        <v>20</v>
      </c>
      <c r="H17" s="109">
        <f ca="1">G17+G17*0.01*RANDBETWEEN(INDEX(Table4[],MATCH(P7,Table4[Sr. No.],0),7),INDEX(Table4[],MATCH(P7,Table4[Sr. No.],0),8))</f>
        <v>20</v>
      </c>
      <c r="I17" s="105">
        <f>F7</f>
        <v>0</v>
      </c>
      <c r="J17" s="105">
        <f ca="1">I17+I17*0.01*RANDBETWEEN(INDEX(Table4[],MATCH(P7,Table4[Sr. No.],0),9),INDEX(Table4[],MATCH(P7,Table4[Sr. No.],0),10))</f>
        <v>0</v>
      </c>
      <c r="K17" s="105">
        <f>G7</f>
        <v>0</v>
      </c>
      <c r="L17" s="105">
        <f ca="1">K17+K17*0.01*RANDBETWEEN(INDEX(Table4[],MATCH(P7,Table4[Sr. No.],0),11),INDEX(Table4[],MATCH(P7,Table4[Sr. No.],0),12))</f>
        <v>0</v>
      </c>
      <c r="N17" s="187" t="s">
        <v>106</v>
      </c>
      <c r="O17" s="188"/>
    </row>
    <row r="18" spans="1:15" ht="14.4" thickBot="1" x14ac:dyDescent="0.3">
      <c r="A18" s="104"/>
      <c r="B18" s="95" t="s">
        <v>6</v>
      </c>
      <c r="C18" s="96">
        <f ca="1">D13</f>
        <v>51</v>
      </c>
      <c r="D18" s="96">
        <f ca="1">C18+C18*0.01*RANDBETWEEN(INDEX(Table4[],MATCH(P8,Table4[Sr. No.],0),3),INDEX(Table4[],MATCH(P8,Table4[Sr. No.],0),4))</f>
        <v>51</v>
      </c>
      <c r="E18" s="96">
        <f ca="1">F13</f>
        <v>36.4</v>
      </c>
      <c r="F18" s="96">
        <f ca="1">E18+E18*0.01*RANDBETWEEN(INDEX(Table4[],MATCH(P8,Table4[Sr. No.],0),5),INDEX(Table4[],MATCH(P8,Table4[Sr. No.],0),6))</f>
        <v>36.4</v>
      </c>
      <c r="G18" s="96">
        <f ca="1">H13</f>
        <v>15</v>
      </c>
      <c r="H18" s="109">
        <f ca="1">G18+G18*0.01*RANDBETWEEN(INDEX(Table4[],MATCH(P8,Table4[Sr. No.],0),7),INDEX(Table4[],MATCH(P8,Table4[Sr. No.],0),8))</f>
        <v>15</v>
      </c>
      <c r="I18" s="105">
        <f>F8</f>
        <v>0</v>
      </c>
      <c r="J18" s="105">
        <f ca="1">I18+I18*0.01*RANDBETWEEN(INDEX(Table4[],MATCH(P8,Table4[Sr. No.],0),9),INDEX(Table4[],MATCH(P8,Table4[Sr. No.],0),10))</f>
        <v>0</v>
      </c>
      <c r="K18" s="105">
        <f>G8</f>
        <v>0</v>
      </c>
      <c r="L18" s="105">
        <f ca="1">K18+K18*0.01*RANDBETWEEN(INDEX(Table4[],MATCH(P8,Table4[Sr. No.],0),11),INDEX(Table4[],MATCH(P8,Table4[Sr. No.],0),12))</f>
        <v>0</v>
      </c>
    </row>
    <row r="19" spans="1:15" ht="14.4" thickBot="1" x14ac:dyDescent="0.3">
      <c r="A19" s="104"/>
      <c r="B19" s="104"/>
      <c r="C19" s="100"/>
      <c r="D19" s="100"/>
      <c r="E19" s="100"/>
      <c r="F19" s="100"/>
      <c r="G19" s="100"/>
      <c r="H19" s="101"/>
      <c r="I19" s="101"/>
    </row>
    <row r="20" spans="1:15" ht="14.4" thickBot="1" x14ac:dyDescent="0.3">
      <c r="A20" s="104"/>
      <c r="B20" s="165" t="s">
        <v>84</v>
      </c>
      <c r="C20" s="166"/>
      <c r="D20" s="166"/>
      <c r="E20" s="166"/>
      <c r="F20" s="166"/>
      <c r="G20" s="166"/>
      <c r="H20" s="166"/>
      <c r="I20" s="178"/>
      <c r="J20" s="178"/>
      <c r="K20" s="178"/>
      <c r="L20" s="173"/>
    </row>
    <row r="21" spans="1:15" ht="14.4" thickBot="1" x14ac:dyDescent="0.3">
      <c r="A21" s="104"/>
      <c r="B21" s="93"/>
      <c r="C21" s="102" t="s">
        <v>0</v>
      </c>
      <c r="D21" s="102" t="s">
        <v>61</v>
      </c>
      <c r="E21" s="102" t="s">
        <v>2</v>
      </c>
      <c r="F21" s="102" t="s">
        <v>63</v>
      </c>
      <c r="G21" s="102" t="s">
        <v>1</v>
      </c>
      <c r="H21" s="107" t="s">
        <v>62</v>
      </c>
      <c r="I21" s="108" t="s">
        <v>3</v>
      </c>
      <c r="J21" s="108" t="s">
        <v>82</v>
      </c>
      <c r="K21" s="108" t="s">
        <v>4</v>
      </c>
      <c r="L21" s="108" t="s">
        <v>83</v>
      </c>
      <c r="N21" s="89">
        <f ca="1">RANDBETWEEN(INDEX(Table4[],MATCH(P11,Table4[Sr. No.],0),9),INDEX(Table4[],MATCH(P11,Table4[Sr. No.],0),10))</f>
        <v>0</v>
      </c>
    </row>
    <row r="22" spans="1:15" ht="14.4" thickBot="1" x14ac:dyDescent="0.3">
      <c r="A22" s="104"/>
      <c r="B22" s="95" t="s">
        <v>5</v>
      </c>
      <c r="C22" s="96">
        <f ca="1">D17</f>
        <v>70.8</v>
      </c>
      <c r="D22" s="96">
        <f ca="1">C22-C22*0.01*RANDBETWEEN(INDEX(Table4[],MATCH(P11,Table4[Sr. No.],0),3),INDEX(Table4[],MATCH(P11,Table4[Sr. No.],0),4))</f>
        <v>70.8</v>
      </c>
      <c r="E22" s="96">
        <f ca="1">F17</f>
        <v>19.8</v>
      </c>
      <c r="F22" s="96">
        <f ca="1">E22-E22*0.01*RANDBETWEEN(INDEX(Table4[],MATCH(P11,Table4[Sr. No.],0),5),INDEX(Table4[],MATCH(P11,Table4[Sr. No.],0),6))</f>
        <v>19.8</v>
      </c>
      <c r="G22" s="96">
        <f ca="1">H17</f>
        <v>20</v>
      </c>
      <c r="H22" s="96">
        <f ca="1">G22-G22*0.01*RANDBETWEEN(INDEX(Table4[],MATCH(P11,Table4[Sr. No.],0),7),INDEX(Table4[],MATCH(P11,Table4[Sr. No.],0),8))</f>
        <v>20</v>
      </c>
      <c r="I22" s="105">
        <f ca="1">J17</f>
        <v>0</v>
      </c>
      <c r="J22" s="105">
        <f ca="1">I22-I22*0.01*RANDBETWEEN(INDEX(Table4[],MATCH(P11,Table4[Sr. No.],0),9),INDEX(Table4[],MATCH(P11,Table4[Sr. No.],0),10))</f>
        <v>0</v>
      </c>
      <c r="K22" s="105">
        <f ca="1">L17</f>
        <v>0</v>
      </c>
      <c r="L22" s="105">
        <f ca="1">K22-K22*0.01*RANDBETWEEN(INDEX(Table4[],MATCH(P11,Table4[Sr. No.],0),11),INDEX(Table4[],MATCH(P11,Table4[Sr. No.],0),12))</f>
        <v>0</v>
      </c>
      <c r="M22" s="89">
        <f ca="1">SUM(D22,F22,H22,J22,L22)</f>
        <v>110.6</v>
      </c>
    </row>
    <row r="23" spans="1:15" ht="14.4" thickBot="1" x14ac:dyDescent="0.3">
      <c r="A23" s="101"/>
      <c r="B23" s="95" t="s">
        <v>6</v>
      </c>
      <c r="C23" s="96">
        <f ca="1">D18</f>
        <v>51</v>
      </c>
      <c r="D23" s="96">
        <f ca="1">C23-C23*0.01*RANDBETWEEN(INDEX(Table4[],MATCH(P10,Table4[Sr. No.],0),3),INDEX(Table4[],MATCH(P10,Table4[Sr. No.],0),4))</f>
        <v>51</v>
      </c>
      <c r="E23" s="96">
        <f ca="1">F18</f>
        <v>36.4</v>
      </c>
      <c r="F23" s="96">
        <f ca="1">E23-E23*0.01*RANDBETWEEN(INDEX(Table4[],MATCH(P10,Table4[Sr. No.],0),5),INDEX(Table4[],MATCH(P10,Table4[Sr. No.],0),6))</f>
        <v>36.4</v>
      </c>
      <c r="G23" s="96">
        <f ca="1">H18</f>
        <v>15</v>
      </c>
      <c r="H23" s="96">
        <f ca="1">G23-G23*0.01*RANDBETWEEN(INDEX(Table4[],MATCH(P10,Table4[Sr. No.],0),7),INDEX(Table4[],MATCH(P10,Table4[Sr. No.],0),8))</f>
        <v>15</v>
      </c>
      <c r="I23" s="105">
        <f ca="1">J18</f>
        <v>0</v>
      </c>
      <c r="J23" s="105">
        <f ca="1">I23-I23*0.01*RANDBETWEEN(INDEX(Table4[],MATCH(P10,Table4[Sr. No.],0),9),INDEX(Table4[],MATCH(P10,Table4[Sr. No.],0),10))</f>
        <v>0</v>
      </c>
      <c r="K23" s="105">
        <f ca="1">L18</f>
        <v>0</v>
      </c>
      <c r="L23" s="105">
        <f ca="1">K23-K23*0.01*RANDBETWEEN(INDEX(Table4[],MATCH(P10,Table4[Sr. No.],0),11),INDEX(Table4[],MATCH(P10,Table4[Sr. No.],0),12))</f>
        <v>0</v>
      </c>
      <c r="M23" s="89">
        <f ca="1">SUM(D23,F23,H23,J23,L23)</f>
        <v>102.4</v>
      </c>
    </row>
    <row r="24" spans="1:15" x14ac:dyDescent="0.25">
      <c r="A24" s="101"/>
      <c r="B24" s="101"/>
      <c r="C24" s="101"/>
      <c r="D24" s="101"/>
      <c r="E24" s="101"/>
      <c r="F24" s="101"/>
      <c r="G24" s="101"/>
      <c r="H24" s="101"/>
      <c r="I24" s="101"/>
    </row>
    <row r="27" spans="1:15" ht="14.4" thickBot="1" x14ac:dyDescent="0.3"/>
    <row r="28" spans="1:15" ht="14.4" thickBot="1" x14ac:dyDescent="0.3">
      <c r="B28" s="165" t="s">
        <v>87</v>
      </c>
      <c r="C28" s="166"/>
      <c r="D28" s="166"/>
      <c r="E28" s="166"/>
      <c r="F28" s="166"/>
      <c r="G28" s="166"/>
      <c r="H28" s="166"/>
      <c r="I28" s="166"/>
      <c r="J28" s="166"/>
      <c r="K28" s="166"/>
      <c r="L28" s="167"/>
    </row>
    <row r="29" spans="1:15" ht="14.4" thickBot="1" x14ac:dyDescent="0.3">
      <c r="B29" s="110"/>
      <c r="C29" s="191" t="s">
        <v>31</v>
      </c>
      <c r="D29" s="191"/>
      <c r="E29" s="191" t="s">
        <v>32</v>
      </c>
      <c r="F29" s="191"/>
      <c r="G29" s="191" t="s">
        <v>33</v>
      </c>
      <c r="H29" s="192"/>
      <c r="I29" s="193" t="s">
        <v>96</v>
      </c>
      <c r="J29" s="194"/>
      <c r="K29" s="165" t="s">
        <v>97</v>
      </c>
      <c r="L29" s="167"/>
    </row>
    <row r="30" spans="1:15" ht="14.4" thickTop="1" x14ac:dyDescent="0.25">
      <c r="B30" s="111" t="s">
        <v>34</v>
      </c>
      <c r="C30" s="112" t="s">
        <v>35</v>
      </c>
      <c r="D30" s="112" t="s">
        <v>36</v>
      </c>
      <c r="E30" s="112" t="s">
        <v>37</v>
      </c>
      <c r="F30" s="112" t="s">
        <v>38</v>
      </c>
      <c r="G30" s="112" t="s">
        <v>39</v>
      </c>
      <c r="H30" s="113" t="s">
        <v>40</v>
      </c>
      <c r="I30" s="112" t="s">
        <v>92</v>
      </c>
      <c r="J30" s="112" t="s">
        <v>93</v>
      </c>
      <c r="K30" s="112" t="s">
        <v>94</v>
      </c>
      <c r="L30" s="112" t="s">
        <v>95</v>
      </c>
    </row>
    <row r="31" spans="1:15" x14ac:dyDescent="0.25">
      <c r="B31" s="114" t="s">
        <v>41</v>
      </c>
      <c r="C31" s="115">
        <f t="shared" ref="C31:L40" ca="1" si="0">_xlfn.FLOOR.MATH(100*RAND())/100</f>
        <v>0.76</v>
      </c>
      <c r="D31" s="115">
        <f t="shared" ca="1" si="0"/>
        <v>0.53</v>
      </c>
      <c r="E31" s="115">
        <f t="shared" ca="1" si="0"/>
        <v>0.7</v>
      </c>
      <c r="F31" s="115">
        <f t="shared" ca="1" si="0"/>
        <v>0.24</v>
      </c>
      <c r="G31" s="115">
        <f t="shared" ca="1" si="0"/>
        <v>0.47</v>
      </c>
      <c r="H31" s="115">
        <f t="shared" ca="1" si="0"/>
        <v>0.84</v>
      </c>
      <c r="I31" s="115">
        <f t="shared" ca="1" si="0"/>
        <v>0.64</v>
      </c>
      <c r="J31" s="115">
        <f t="shared" ca="1" si="0"/>
        <v>0.83</v>
      </c>
      <c r="K31" s="115">
        <f t="shared" ca="1" si="0"/>
        <v>0.63</v>
      </c>
      <c r="L31" s="115">
        <f t="shared" ca="1" si="0"/>
        <v>0.6</v>
      </c>
    </row>
    <row r="32" spans="1:15" x14ac:dyDescent="0.25">
      <c r="B32" s="114" t="s">
        <v>42</v>
      </c>
      <c r="C32" s="115">
        <f t="shared" ca="1" si="0"/>
        <v>0.32</v>
      </c>
      <c r="D32" s="115">
        <f t="shared" ca="1" si="0"/>
        <v>0.18</v>
      </c>
      <c r="E32" s="115">
        <f t="shared" ca="1" si="0"/>
        <v>0.36</v>
      </c>
      <c r="F32" s="115">
        <f t="shared" ca="1" si="0"/>
        <v>0.73</v>
      </c>
      <c r="G32" s="115">
        <f t="shared" ca="1" si="0"/>
        <v>0.68</v>
      </c>
      <c r="H32" s="115">
        <f t="shared" ca="1" si="0"/>
        <v>0.95</v>
      </c>
      <c r="I32" s="115">
        <f t="shared" ca="1" si="0"/>
        <v>0.36</v>
      </c>
      <c r="J32" s="115">
        <f t="shared" ca="1" si="0"/>
        <v>0.76</v>
      </c>
      <c r="K32" s="115">
        <f t="shared" ca="1" si="0"/>
        <v>0.76</v>
      </c>
      <c r="L32" s="115">
        <f t="shared" ca="1" si="0"/>
        <v>0.67</v>
      </c>
    </row>
    <row r="33" spans="2:12" x14ac:dyDescent="0.25">
      <c r="B33" s="114" t="s">
        <v>43</v>
      </c>
      <c r="C33" s="115">
        <f t="shared" ca="1" si="0"/>
        <v>0.71</v>
      </c>
      <c r="D33" s="115">
        <f t="shared" ca="1" si="0"/>
        <v>0.03</v>
      </c>
      <c r="E33" s="115">
        <f t="shared" ca="1" si="0"/>
        <v>0.33</v>
      </c>
      <c r="F33" s="115">
        <f t="shared" ca="1" si="0"/>
        <v>0.98</v>
      </c>
      <c r="G33" s="115">
        <f t="shared" ca="1" si="0"/>
        <v>0.79</v>
      </c>
      <c r="H33" s="115">
        <f t="shared" ca="1" si="0"/>
        <v>0.51</v>
      </c>
      <c r="I33" s="115">
        <f t="shared" ca="1" si="0"/>
        <v>0.3</v>
      </c>
      <c r="J33" s="115">
        <f t="shared" ca="1" si="0"/>
        <v>0.28000000000000003</v>
      </c>
      <c r="K33" s="115">
        <f t="shared" ca="1" si="0"/>
        <v>0.54</v>
      </c>
      <c r="L33" s="115">
        <f t="shared" ca="1" si="0"/>
        <v>0.26</v>
      </c>
    </row>
    <row r="34" spans="2:12" x14ac:dyDescent="0.25">
      <c r="B34" s="114" t="s">
        <v>44</v>
      </c>
      <c r="C34" s="115">
        <f t="shared" ca="1" si="0"/>
        <v>0.39</v>
      </c>
      <c r="D34" s="115">
        <f t="shared" ca="1" si="0"/>
        <v>0.98</v>
      </c>
      <c r="E34" s="115">
        <f t="shared" ca="1" si="0"/>
        <v>0.87</v>
      </c>
      <c r="F34" s="115">
        <f t="shared" ca="1" si="0"/>
        <v>0.25</v>
      </c>
      <c r="G34" s="115">
        <f t="shared" ca="1" si="0"/>
        <v>0.93</v>
      </c>
      <c r="H34" s="115">
        <f t="shared" ca="1" si="0"/>
        <v>0.74</v>
      </c>
      <c r="I34" s="115">
        <f t="shared" ca="1" si="0"/>
        <v>0.21</v>
      </c>
      <c r="J34" s="115">
        <f t="shared" ca="1" si="0"/>
        <v>0.87</v>
      </c>
      <c r="K34" s="115">
        <f t="shared" ca="1" si="0"/>
        <v>0.34</v>
      </c>
      <c r="L34" s="115">
        <f t="shared" ca="1" si="0"/>
        <v>0.11</v>
      </c>
    </row>
    <row r="35" spans="2:12" x14ac:dyDescent="0.25">
      <c r="B35" s="114" t="s">
        <v>45</v>
      </c>
      <c r="C35" s="115">
        <f t="shared" ca="1" si="0"/>
        <v>0.76</v>
      </c>
      <c r="D35" s="115">
        <f t="shared" ca="1" si="0"/>
        <v>0.49</v>
      </c>
      <c r="E35" s="115">
        <f t="shared" ca="1" si="0"/>
        <v>0.79</v>
      </c>
      <c r="F35" s="115">
        <f t="shared" ca="1" si="0"/>
        <v>0.39</v>
      </c>
      <c r="G35" s="115">
        <f t="shared" ca="1" si="0"/>
        <v>0.76</v>
      </c>
      <c r="H35" s="115">
        <f t="shared" ca="1" si="0"/>
        <v>0.7</v>
      </c>
      <c r="I35" s="115">
        <f t="shared" ca="1" si="0"/>
        <v>0.57999999999999996</v>
      </c>
      <c r="J35" s="115">
        <f t="shared" ca="1" si="0"/>
        <v>0.73</v>
      </c>
      <c r="K35" s="115">
        <f t="shared" ca="1" si="0"/>
        <v>0.9</v>
      </c>
      <c r="L35" s="115">
        <f t="shared" ca="1" si="0"/>
        <v>0.99</v>
      </c>
    </row>
    <row r="36" spans="2:12" x14ac:dyDescent="0.25">
      <c r="B36" s="114" t="s">
        <v>46</v>
      </c>
      <c r="C36" s="115">
        <f t="shared" ca="1" si="0"/>
        <v>0.75</v>
      </c>
      <c r="D36" s="115">
        <f t="shared" ca="1" si="0"/>
        <v>0.78</v>
      </c>
      <c r="E36" s="115">
        <f t="shared" ca="1" si="0"/>
        <v>0.73</v>
      </c>
      <c r="F36" s="115">
        <f t="shared" ca="1" si="0"/>
        <v>0.67</v>
      </c>
      <c r="G36" s="115">
        <f t="shared" ca="1" si="0"/>
        <v>0.87</v>
      </c>
      <c r="H36" s="115">
        <f t="shared" ca="1" si="0"/>
        <v>0.19</v>
      </c>
      <c r="I36" s="115">
        <f t="shared" ca="1" si="0"/>
        <v>0.44</v>
      </c>
      <c r="J36" s="115">
        <f t="shared" ca="1" si="0"/>
        <v>0.91</v>
      </c>
      <c r="K36" s="115">
        <f t="shared" ca="1" si="0"/>
        <v>0.49</v>
      </c>
      <c r="L36" s="115">
        <f t="shared" ca="1" si="0"/>
        <v>0.63</v>
      </c>
    </row>
    <row r="37" spans="2:12" x14ac:dyDescent="0.25">
      <c r="B37" s="114" t="s">
        <v>47</v>
      </c>
      <c r="C37" s="115">
        <f t="shared" ca="1" si="0"/>
        <v>0.86</v>
      </c>
      <c r="D37" s="115">
        <f t="shared" ca="1" si="0"/>
        <v>0.09</v>
      </c>
      <c r="E37" s="115">
        <f t="shared" ca="1" si="0"/>
        <v>0.14000000000000001</v>
      </c>
      <c r="F37" s="115">
        <f t="shared" ca="1" si="0"/>
        <v>0.15</v>
      </c>
      <c r="G37" s="115">
        <f t="shared" ca="1" si="0"/>
        <v>0.93</v>
      </c>
      <c r="H37" s="115">
        <f t="shared" ca="1" si="0"/>
        <v>0.34</v>
      </c>
      <c r="I37" s="115">
        <f t="shared" ca="1" si="0"/>
        <v>0.86</v>
      </c>
      <c r="J37" s="115">
        <f t="shared" ca="1" si="0"/>
        <v>0.09</v>
      </c>
      <c r="K37" s="115">
        <f t="shared" ca="1" si="0"/>
        <v>0.47</v>
      </c>
      <c r="L37" s="115">
        <f t="shared" ca="1" si="0"/>
        <v>0.81</v>
      </c>
    </row>
    <row r="38" spans="2:12" x14ac:dyDescent="0.25">
      <c r="B38" s="114" t="s">
        <v>48</v>
      </c>
      <c r="C38" s="115">
        <f t="shared" ca="1" si="0"/>
        <v>0.69</v>
      </c>
      <c r="D38" s="115">
        <f t="shared" ca="1" si="0"/>
        <v>0.98</v>
      </c>
      <c r="E38" s="115">
        <f t="shared" ca="1" si="0"/>
        <v>0.21</v>
      </c>
      <c r="F38" s="115">
        <f t="shared" ca="1" si="0"/>
        <v>0.79</v>
      </c>
      <c r="G38" s="115">
        <f t="shared" ca="1" si="0"/>
        <v>0.19</v>
      </c>
      <c r="H38" s="115">
        <f t="shared" ca="1" si="0"/>
        <v>0.49</v>
      </c>
      <c r="I38" s="115">
        <f t="shared" ca="1" si="0"/>
        <v>0.63</v>
      </c>
      <c r="J38" s="115">
        <f t="shared" ca="1" si="0"/>
        <v>0.52</v>
      </c>
      <c r="K38" s="115">
        <f t="shared" ca="1" si="0"/>
        <v>0.17</v>
      </c>
      <c r="L38" s="115">
        <f t="shared" ca="1" si="0"/>
        <v>0.69</v>
      </c>
    </row>
    <row r="39" spans="2:12" x14ac:dyDescent="0.25">
      <c r="B39" s="114" t="s">
        <v>49</v>
      </c>
      <c r="C39" s="115">
        <f t="shared" ca="1" si="0"/>
        <v>0.95</v>
      </c>
      <c r="D39" s="115">
        <f t="shared" ca="1" si="0"/>
        <v>0.14000000000000001</v>
      </c>
      <c r="E39" s="115">
        <f t="shared" ca="1" si="0"/>
        <v>0.44</v>
      </c>
      <c r="F39" s="115">
        <f t="shared" ca="1" si="0"/>
        <v>0.56000000000000005</v>
      </c>
      <c r="G39" s="115">
        <f t="shared" ca="1" si="0"/>
        <v>0.27</v>
      </c>
      <c r="H39" s="115">
        <f t="shared" ca="1" si="0"/>
        <v>0.32</v>
      </c>
      <c r="I39" s="115">
        <f t="shared" ca="1" si="0"/>
        <v>0.73</v>
      </c>
      <c r="J39" s="115">
        <f t="shared" ca="1" si="0"/>
        <v>0.52</v>
      </c>
      <c r="K39" s="115">
        <f t="shared" ca="1" si="0"/>
        <v>0.42</v>
      </c>
      <c r="L39" s="115">
        <f t="shared" ca="1" si="0"/>
        <v>0.08</v>
      </c>
    </row>
    <row r="40" spans="2:12" x14ac:dyDescent="0.25">
      <c r="B40" s="116" t="s">
        <v>50</v>
      </c>
      <c r="C40" s="115">
        <f t="shared" ca="1" si="0"/>
        <v>0.78</v>
      </c>
      <c r="D40" s="115">
        <f t="shared" ca="1" si="0"/>
        <v>0.35</v>
      </c>
      <c r="E40" s="115">
        <f t="shared" ca="1" si="0"/>
        <v>0.56000000000000005</v>
      </c>
      <c r="F40" s="115">
        <f t="shared" ca="1" si="0"/>
        <v>0.82</v>
      </c>
      <c r="G40" s="115">
        <f t="shared" ca="1" si="0"/>
        <v>0.18</v>
      </c>
      <c r="H40" s="115">
        <f t="shared" ca="1" si="0"/>
        <v>0.54</v>
      </c>
      <c r="I40" s="115">
        <f t="shared" ca="1" si="0"/>
        <v>0.06</v>
      </c>
      <c r="J40" s="115">
        <f t="shared" ca="1" si="0"/>
        <v>0.16</v>
      </c>
      <c r="K40" s="115">
        <f t="shared" ca="1" si="0"/>
        <v>0.25</v>
      </c>
      <c r="L40" s="115">
        <f t="shared" ca="1" si="0"/>
        <v>0.22</v>
      </c>
    </row>
    <row r="43" spans="2:12" x14ac:dyDescent="0.25">
      <c r="B43" s="117" t="s">
        <v>88</v>
      </c>
      <c r="C43" s="118" t="s">
        <v>41</v>
      </c>
      <c r="D43" s="118" t="s">
        <v>42</v>
      </c>
      <c r="E43" s="118" t="s">
        <v>43</v>
      </c>
      <c r="F43" s="118" t="s">
        <v>44</v>
      </c>
      <c r="G43" s="118" t="s">
        <v>45</v>
      </c>
      <c r="H43" s="118" t="s">
        <v>46</v>
      </c>
      <c r="I43" s="118" t="s">
        <v>47</v>
      </c>
      <c r="J43" s="118" t="s">
        <v>48</v>
      </c>
      <c r="K43" s="118" t="s">
        <v>49</v>
      </c>
      <c r="L43" s="118" t="s">
        <v>50</v>
      </c>
    </row>
    <row r="44" spans="2:12" x14ac:dyDescent="0.25">
      <c r="B44" s="117" t="s">
        <v>89</v>
      </c>
      <c r="C44" s="89">
        <f ca="1">M4*(C31+D31)+N4*(E31+F31)+O4*(G31+H31)+P4*(I31+J31)+Q4*(K31+L31)</f>
        <v>136.07</v>
      </c>
      <c r="D44" s="89">
        <f ca="1">M4*(C32+D32)+N4*(E32+F32)+O4*(G32+H32)+P4*(I32+J32)+Q4*(K32+L32)</f>
        <v>89.47399999999999</v>
      </c>
      <c r="E44" s="89">
        <f ca="1">M4*(C33+D33)+N4*(E33+F33)+O4*(G33+H33)+P4*(I33+J33)+Q4*(K33+L33)</f>
        <v>104.33199999999999</v>
      </c>
      <c r="F44" s="89">
        <f ca="1">M4*(C34+D34)+N4*(E34+F34)+O4*(G34+H34)+P4*(I34+J34)+Q4*(K34+L34)</f>
        <v>152.46200000000002</v>
      </c>
      <c r="G44" s="89">
        <f ca="1">M4*(C35+D35)+N4*(E35+F35)+O4*(G35+H35)+P4*(I35+J35)+Q4*(K35+L35)</f>
        <v>141.00799999999998</v>
      </c>
      <c r="H44" s="89">
        <f ca="1">M4*(C36+D36)+N4*(E36+F36)+O4*(G36+H36)+P4*(I36+J36)+Q4*(K36+L36)</f>
        <v>157.31200000000001</v>
      </c>
      <c r="I44" s="89">
        <f ca="1">M4*(C37+D37)+N4*(E37+F37)+O4*(G37+H37)+P4*(I37+J37)+Q4*(K37+L37)</f>
        <v>98.205999999999989</v>
      </c>
      <c r="J44" s="89">
        <f ca="1">M4*(C38+D38)+N4*(E38+F38)+O4*(G38+H38)+P4*(I38+J38)+Q4*(K38+L38)</f>
        <v>151.69999999999999</v>
      </c>
      <c r="K44" s="89">
        <f ca="1">M4*(C39+D39)+N4*(E39+F39)+O4*(G39+H39)+P4*(I39+J39)+Q4*(K39+L39)</f>
        <v>108.85399999999998</v>
      </c>
      <c r="L44" s="89">
        <f ca="1">M4*(C40+D40)+N4*(E40+F40)+O4*(G40+H40)+P4*(I40+J40)+Q4*(K40+L40)</f>
        <v>121.85999999999999</v>
      </c>
    </row>
    <row r="45" spans="2:12" ht="14.4" thickBot="1" x14ac:dyDescent="0.3">
      <c r="B45" s="117" t="s">
        <v>90</v>
      </c>
      <c r="C45" s="89">
        <f ca="1">M5*(C32+D32)+N5*(E32+F32)+O5*(G32+H32)+P5*(I32+J32)+Q5*(K32+L32)</f>
        <v>101.18199999999999</v>
      </c>
      <c r="D45" s="89">
        <f ca="1">M5*(C32+D32)+N5*(E32+F32)+O5*(G32+H32)+P5*(I32+J32)+Q5*(K32+L32)</f>
        <v>101.18199999999999</v>
      </c>
      <c r="E45" s="89">
        <f ca="1">M5*(C33+D33)+N5*(E33+F33)+O5*(G33+H33)+P5*(I33+J33)+Q5*(K33+L33)</f>
        <v>104.71000000000001</v>
      </c>
      <c r="F45" s="89">
        <f ca="1">M5*(C35+D35)+N5*(E35+F35)+O5*(G35+H35)+P5*(I35+J35)+Q5*(K35+L35)</f>
        <v>134.59399999999999</v>
      </c>
      <c r="G45" s="89">
        <f ca="1">M5*(C35+D35)+N5*(E35+F35)+O5*(G35+H35)+P5*(I35+J35)+Q5*(K35+L35)</f>
        <v>134.59399999999999</v>
      </c>
      <c r="H45" s="89">
        <f ca="1">M5*(C36+D36)+N5*(E36+F36)+O5*(G36+H36)+P5*(I36+J36)+Q5*(K36+L36)</f>
        <v>137.614</v>
      </c>
      <c r="I45" s="89">
        <f ca="1">M5*(C37+D37)+N5*(E37+F37)+O5*(G37+H37)+P5*(I37+J37)+Q5*(K37+L37)</f>
        <v>99.027999999999992</v>
      </c>
      <c r="J45" s="89">
        <f ca="1">M5*(C38+D38)+N5*(E38+F38)+O5*(G38+H38)+P5*(I38+J38)+Q5*(K38+L38)</f>
        <v>124.922</v>
      </c>
      <c r="K45" s="119">
        <f ca="1">M5*(C39+D39)+N5*(E39+F39)+O5*(G39+H39)+P5*(I39+J39)+Q5*(K39+L39)</f>
        <v>92.065999999999988</v>
      </c>
      <c r="L45" s="119">
        <f ca="1">M5*(C40+D40)+N5*(E40+F40)+O5*(G40+H40)+P5*(I40+J40)+Q5*(K40+L40)</f>
        <v>104.538</v>
      </c>
    </row>
    <row r="46" spans="2:12" ht="14.4" thickBot="1" x14ac:dyDescent="0.3">
      <c r="B46" s="120" t="s">
        <v>91</v>
      </c>
      <c r="C46" s="121">
        <f t="shared" ref="C46:I46" ca="1" si="1">IF(C45&gt;C44,2,IF(C45=C44,0,1))</f>
        <v>1</v>
      </c>
      <c r="D46" s="121">
        <f t="shared" ca="1" si="1"/>
        <v>2</v>
      </c>
      <c r="E46" s="121">
        <f t="shared" ca="1" si="1"/>
        <v>2</v>
      </c>
      <c r="F46" s="121">
        <f t="shared" ca="1" si="1"/>
        <v>1</v>
      </c>
      <c r="G46" s="121">
        <f t="shared" ca="1" si="1"/>
        <v>1</v>
      </c>
      <c r="H46" s="121">
        <f t="shared" ca="1" si="1"/>
        <v>1</v>
      </c>
      <c r="I46" s="121">
        <f t="shared" ca="1" si="1"/>
        <v>2</v>
      </c>
      <c r="J46" s="121">
        <f ca="1">IF(K45&gt;J44,2,IF(K45=J44,0,1))</f>
        <v>1</v>
      </c>
      <c r="K46" s="121">
        <f ca="1">IF(L45&gt;K44,2,IF(L45=K44,0,1))</f>
        <v>1</v>
      </c>
      <c r="L46" s="122">
        <f ca="1">IF(L45&gt;L44,2,IF(L45=L44,0,1))</f>
        <v>1</v>
      </c>
    </row>
    <row r="48" spans="2:12" x14ac:dyDescent="0.25">
      <c r="C48" s="89">
        <f ca="1">SUM(_xlfn.FLOOR.MATH(100*RAND())/100,_xlfn.FLOOR.MATH(100*RAND())/100)*M22</f>
        <v>101.752</v>
      </c>
      <c r="D48" s="89">
        <f ca="1">M22</f>
        <v>110.6</v>
      </c>
      <c r="E48" s="89">
        <f ca="1">D48-C48</f>
        <v>8.847999999999999</v>
      </c>
    </row>
    <row r="49" spans="3:5" x14ac:dyDescent="0.25">
      <c r="C49" s="89">
        <f ca="1">SUM(_xlfn.FLOOR.MATH(100*RAND())/100,_xlfn.FLOOR.MATH(100*RAND())/100)*M23</f>
        <v>167.93600000000004</v>
      </c>
      <c r="D49" s="89">
        <f ca="1">M23</f>
        <v>102.4</v>
      </c>
      <c r="E49" s="89">
        <f ca="1">D49-C49</f>
        <v>-65.53600000000003</v>
      </c>
    </row>
  </sheetData>
  <mergeCells count="27">
    <mergeCell ref="C29:D29"/>
    <mergeCell ref="E29:F29"/>
    <mergeCell ref="G29:H29"/>
    <mergeCell ref="I29:J29"/>
    <mergeCell ref="K29:L29"/>
    <mergeCell ref="B28:L28"/>
    <mergeCell ref="L7:M7"/>
    <mergeCell ref="N7:O7"/>
    <mergeCell ref="L8:M8"/>
    <mergeCell ref="N8:O8"/>
    <mergeCell ref="B15:L15"/>
    <mergeCell ref="B20:L20"/>
    <mergeCell ref="L10:M10"/>
    <mergeCell ref="L11:M11"/>
    <mergeCell ref="N10:O10"/>
    <mergeCell ref="N11:O11"/>
    <mergeCell ref="N15:O15"/>
    <mergeCell ref="N16:O16"/>
    <mergeCell ref="N17:O17"/>
    <mergeCell ref="N14:O14"/>
    <mergeCell ref="L2:Q2"/>
    <mergeCell ref="B5:G5"/>
    <mergeCell ref="D2:E2"/>
    <mergeCell ref="D3:E3"/>
    <mergeCell ref="B10:H10"/>
    <mergeCell ref="B2:C2"/>
    <mergeCell ref="B3:C3"/>
  </mergeCells>
  <phoneticPr fontId="10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97B8-BCBB-44DE-BAFE-8F7693F88017}">
  <sheetPr codeName="Sheet6"/>
  <dimension ref="A1:G52"/>
  <sheetViews>
    <sheetView topLeftCell="A25" workbookViewId="0">
      <selection activeCell="C51" sqref="C51"/>
    </sheetView>
  </sheetViews>
  <sheetFormatPr defaultRowHeight="14.4" x14ac:dyDescent="0.3"/>
  <sheetData>
    <row r="1" spans="1:7" x14ac:dyDescent="0.3">
      <c r="A1" s="86">
        <v>1</v>
      </c>
      <c r="B1" s="85">
        <v>0.6</v>
      </c>
      <c r="G1">
        <f ca="1">'Player Input'!P14</f>
        <v>0.7</v>
      </c>
    </row>
    <row r="2" spans="1:7" x14ac:dyDescent="0.3">
      <c r="A2" s="87">
        <v>2</v>
      </c>
      <c r="B2" s="83">
        <v>0.3</v>
      </c>
      <c r="C2" s="82"/>
    </row>
    <row r="3" spans="1:7" x14ac:dyDescent="0.3">
      <c r="A3" s="87">
        <v>3</v>
      </c>
      <c r="B3" s="83">
        <v>0.5</v>
      </c>
    </row>
    <row r="4" spans="1:7" x14ac:dyDescent="0.3">
      <c r="A4" s="87">
        <v>4</v>
      </c>
      <c r="B4" s="83">
        <v>0.6</v>
      </c>
    </row>
    <row r="5" spans="1:7" x14ac:dyDescent="0.3">
      <c r="A5" s="87">
        <v>5</v>
      </c>
      <c r="B5" s="83">
        <v>0.4</v>
      </c>
      <c r="E5">
        <f>COUNTIF(B1:B50, "&gt;0.5")/50</f>
        <v>0.52</v>
      </c>
    </row>
    <row r="6" spans="1:7" x14ac:dyDescent="0.3">
      <c r="A6" s="87">
        <v>6</v>
      </c>
      <c r="B6" s="83">
        <v>0.7</v>
      </c>
    </row>
    <row r="7" spans="1:7" x14ac:dyDescent="0.3">
      <c r="A7" s="87">
        <v>7</v>
      </c>
      <c r="B7" s="83">
        <v>0.4</v>
      </c>
    </row>
    <row r="8" spans="1:7" x14ac:dyDescent="0.3">
      <c r="A8" s="87">
        <v>8</v>
      </c>
      <c r="B8" s="83">
        <v>0.6</v>
      </c>
    </row>
    <row r="9" spans="1:7" x14ac:dyDescent="0.3">
      <c r="A9" s="87">
        <v>9</v>
      </c>
      <c r="B9" s="83">
        <v>0.7</v>
      </c>
    </row>
    <row r="10" spans="1:7" x14ac:dyDescent="0.3">
      <c r="A10" s="87">
        <v>10</v>
      </c>
      <c r="B10" s="83">
        <v>0.4</v>
      </c>
    </row>
    <row r="11" spans="1:7" x14ac:dyDescent="0.3">
      <c r="A11" s="87">
        <v>11</v>
      </c>
      <c r="B11" s="83">
        <v>0.5</v>
      </c>
    </row>
    <row r="12" spans="1:7" x14ac:dyDescent="0.3">
      <c r="A12" s="87">
        <v>12</v>
      </c>
      <c r="B12" s="83">
        <v>0.6</v>
      </c>
    </row>
    <row r="13" spans="1:7" x14ac:dyDescent="0.3">
      <c r="A13" s="87">
        <v>13</v>
      </c>
      <c r="B13" s="83">
        <v>0.5</v>
      </c>
    </row>
    <row r="14" spans="1:7" x14ac:dyDescent="0.3">
      <c r="A14" s="87">
        <v>14</v>
      </c>
      <c r="B14" s="83">
        <v>0.5</v>
      </c>
    </row>
    <row r="15" spans="1:7" x14ac:dyDescent="0.3">
      <c r="A15" s="87">
        <v>15</v>
      </c>
      <c r="B15" s="83">
        <v>0.4</v>
      </c>
    </row>
    <row r="16" spans="1:7" x14ac:dyDescent="0.3">
      <c r="A16" s="87">
        <v>16</v>
      </c>
      <c r="B16" s="83">
        <v>0.6</v>
      </c>
    </row>
    <row r="17" spans="1:2" x14ac:dyDescent="0.3">
      <c r="A17" s="87">
        <v>17</v>
      </c>
      <c r="B17" s="83">
        <v>0.5</v>
      </c>
    </row>
    <row r="18" spans="1:2" x14ac:dyDescent="0.3">
      <c r="A18" s="87">
        <v>18</v>
      </c>
      <c r="B18" s="83">
        <v>0.7</v>
      </c>
    </row>
    <row r="19" spans="1:2" x14ac:dyDescent="0.3">
      <c r="A19" s="87">
        <v>19</v>
      </c>
      <c r="B19" s="83">
        <v>0.5</v>
      </c>
    </row>
    <row r="20" spans="1:2" x14ac:dyDescent="0.3">
      <c r="A20" s="87">
        <v>20</v>
      </c>
      <c r="B20" s="83">
        <v>0.4</v>
      </c>
    </row>
    <row r="21" spans="1:2" x14ac:dyDescent="0.3">
      <c r="A21" s="87">
        <v>21</v>
      </c>
      <c r="B21" s="83">
        <v>0.3</v>
      </c>
    </row>
    <row r="22" spans="1:2" x14ac:dyDescent="0.3">
      <c r="A22" s="87">
        <v>22</v>
      </c>
      <c r="B22" s="83">
        <v>0.7</v>
      </c>
    </row>
    <row r="23" spans="1:2" x14ac:dyDescent="0.3">
      <c r="A23" s="87">
        <v>23</v>
      </c>
      <c r="B23" s="83">
        <v>0.6</v>
      </c>
    </row>
    <row r="24" spans="1:2" x14ac:dyDescent="0.3">
      <c r="A24" s="87">
        <v>24</v>
      </c>
      <c r="B24" s="83">
        <v>0.5</v>
      </c>
    </row>
    <row r="25" spans="1:2" x14ac:dyDescent="0.3">
      <c r="A25" s="87">
        <v>25</v>
      </c>
      <c r="B25" s="83">
        <v>0.8</v>
      </c>
    </row>
    <row r="26" spans="1:2" x14ac:dyDescent="0.3">
      <c r="A26" s="87">
        <v>26</v>
      </c>
      <c r="B26" s="83">
        <v>0.7</v>
      </c>
    </row>
    <row r="27" spans="1:2" x14ac:dyDescent="0.3">
      <c r="A27" s="87">
        <v>27</v>
      </c>
      <c r="B27" s="83">
        <v>0.5</v>
      </c>
    </row>
    <row r="28" spans="1:2" x14ac:dyDescent="0.3">
      <c r="A28" s="87">
        <v>28</v>
      </c>
      <c r="B28" s="83">
        <v>0.8</v>
      </c>
    </row>
    <row r="29" spans="1:2" x14ac:dyDescent="0.3">
      <c r="A29" s="87">
        <v>29</v>
      </c>
      <c r="B29" s="83">
        <v>0.6</v>
      </c>
    </row>
    <row r="30" spans="1:2" x14ac:dyDescent="0.3">
      <c r="A30" s="87">
        <v>30</v>
      </c>
      <c r="B30" s="83">
        <v>0.6</v>
      </c>
    </row>
    <row r="31" spans="1:2" x14ac:dyDescent="0.3">
      <c r="A31" s="87">
        <v>31</v>
      </c>
      <c r="B31" s="83">
        <v>0.3</v>
      </c>
    </row>
    <row r="32" spans="1:2" x14ac:dyDescent="0.3">
      <c r="A32" s="87">
        <v>32</v>
      </c>
      <c r="B32" s="83">
        <v>0.6</v>
      </c>
    </row>
    <row r="33" spans="1:2" x14ac:dyDescent="0.3">
      <c r="A33" s="87">
        <v>33</v>
      </c>
      <c r="B33" s="83">
        <v>0.2</v>
      </c>
    </row>
    <row r="34" spans="1:2" x14ac:dyDescent="0.3">
      <c r="A34" s="87">
        <v>34</v>
      </c>
      <c r="B34" s="83">
        <v>0.4</v>
      </c>
    </row>
    <row r="35" spans="1:2" x14ac:dyDescent="0.3">
      <c r="A35" s="87">
        <v>35</v>
      </c>
      <c r="B35" s="83">
        <v>0.6</v>
      </c>
    </row>
    <row r="36" spans="1:2" x14ac:dyDescent="0.3">
      <c r="A36" s="87">
        <v>36</v>
      </c>
      <c r="B36" s="83">
        <v>0.7</v>
      </c>
    </row>
    <row r="37" spans="1:2" x14ac:dyDescent="0.3">
      <c r="A37" s="87">
        <v>37</v>
      </c>
      <c r="B37" s="83">
        <v>0.7</v>
      </c>
    </row>
    <row r="38" spans="1:2" x14ac:dyDescent="0.3">
      <c r="A38" s="87">
        <v>38</v>
      </c>
      <c r="B38" s="83">
        <v>0.8</v>
      </c>
    </row>
    <row r="39" spans="1:2" x14ac:dyDescent="0.3">
      <c r="A39" s="87">
        <v>39</v>
      </c>
      <c r="B39" s="83">
        <v>0.5</v>
      </c>
    </row>
    <row r="40" spans="1:2" x14ac:dyDescent="0.3">
      <c r="A40" s="87">
        <v>40</v>
      </c>
      <c r="B40" s="83">
        <v>0.5</v>
      </c>
    </row>
    <row r="41" spans="1:2" x14ac:dyDescent="0.3">
      <c r="A41" s="87">
        <v>41</v>
      </c>
      <c r="B41" s="83">
        <v>0.5</v>
      </c>
    </row>
    <row r="42" spans="1:2" x14ac:dyDescent="0.3">
      <c r="A42" s="87">
        <v>42</v>
      </c>
      <c r="B42" s="83">
        <v>0.5</v>
      </c>
    </row>
    <row r="43" spans="1:2" x14ac:dyDescent="0.3">
      <c r="A43" s="87">
        <v>43</v>
      </c>
      <c r="B43" s="83">
        <v>0.8</v>
      </c>
    </row>
    <row r="44" spans="1:2" x14ac:dyDescent="0.3">
      <c r="A44" s="87">
        <v>44</v>
      </c>
      <c r="B44" s="83">
        <v>0.8</v>
      </c>
    </row>
    <row r="45" spans="1:2" x14ac:dyDescent="0.3">
      <c r="A45" s="87">
        <v>45</v>
      </c>
      <c r="B45" s="83">
        <v>0.4</v>
      </c>
    </row>
    <row r="46" spans="1:2" x14ac:dyDescent="0.3">
      <c r="A46" s="87">
        <v>46</v>
      </c>
      <c r="B46" s="83">
        <v>0.8</v>
      </c>
    </row>
    <row r="47" spans="1:2" x14ac:dyDescent="0.3">
      <c r="A47" s="87">
        <v>47</v>
      </c>
      <c r="B47" s="83">
        <v>0.7</v>
      </c>
    </row>
    <row r="48" spans="1:2" x14ac:dyDescent="0.3">
      <c r="A48" s="87">
        <v>48</v>
      </c>
      <c r="B48" s="83">
        <v>0.7</v>
      </c>
    </row>
    <row r="49" spans="1:2" x14ac:dyDescent="0.3">
      <c r="A49" s="87">
        <v>49</v>
      </c>
      <c r="B49" s="83">
        <v>0.5</v>
      </c>
    </row>
    <row r="50" spans="1:2" ht="15" thickBot="1" x14ac:dyDescent="0.35">
      <c r="A50" s="88">
        <v>50</v>
      </c>
      <c r="B50" s="84">
        <v>0.7</v>
      </c>
    </row>
    <row r="51" spans="1:2" x14ac:dyDescent="0.3">
      <c r="A51" t="s">
        <v>113</v>
      </c>
      <c r="B51">
        <f>AVERAGE(B1:B50)</f>
        <v>0.56399999999999995</v>
      </c>
    </row>
    <row r="52" spans="1:2" x14ac:dyDescent="0.3">
      <c r="A52" t="s">
        <v>114</v>
      </c>
      <c r="B52">
        <f>_xlfn.STDEV.P(B1:B51)</f>
        <v>0.14787382008545896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88071-0529-48FF-BD69-02DEF01BFE1E}">
  <sheetPr codeName="Sheet3"/>
  <dimension ref="A1:L26"/>
  <sheetViews>
    <sheetView workbookViewId="0">
      <selection activeCell="G27" sqref="G27"/>
    </sheetView>
  </sheetViews>
  <sheetFormatPr defaultRowHeight="14.4" outlineLevelCol="1" x14ac:dyDescent="0.3"/>
  <cols>
    <col min="1" max="2" width="3.21875" customWidth="1"/>
    <col min="3" max="3" width="9.21875" customWidth="1"/>
    <col min="4" max="4" width="12.88671875" bestFit="1" customWidth="1" outlineLevel="1"/>
    <col min="11" max="11" width="2.77734375" customWidth="1"/>
    <col min="12" max="12" width="3.21875" customWidth="1"/>
  </cols>
  <sheetData>
    <row r="1" spans="1:12" x14ac:dyDescent="0.3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12" ht="15" thickBot="1" x14ac:dyDescent="0.35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2"/>
    </row>
    <row r="3" spans="1:12" ht="15" thickBot="1" x14ac:dyDescent="0.35">
      <c r="A3" s="52"/>
      <c r="B3" s="53"/>
      <c r="C3" s="158" t="s">
        <v>19</v>
      </c>
      <c r="D3" s="159"/>
      <c r="E3" s="159"/>
      <c r="F3" s="159"/>
      <c r="G3" s="159"/>
      <c r="H3" s="159"/>
      <c r="I3" s="159"/>
      <c r="J3" s="160"/>
      <c r="K3" s="54"/>
      <c r="L3" s="52"/>
    </row>
    <row r="4" spans="1:12" ht="15" thickBot="1" x14ac:dyDescent="0.35">
      <c r="A4" s="52"/>
      <c r="B4" s="53"/>
      <c r="C4" s="158" t="s">
        <v>65</v>
      </c>
      <c r="D4" s="160"/>
      <c r="E4" s="196" t="s">
        <v>0</v>
      </c>
      <c r="F4" s="197"/>
      <c r="G4" s="196" t="s">
        <v>2</v>
      </c>
      <c r="H4" s="197"/>
      <c r="I4" s="196" t="s">
        <v>1</v>
      </c>
      <c r="J4" s="197"/>
      <c r="K4" s="54"/>
      <c r="L4" s="52"/>
    </row>
    <row r="5" spans="1:12" ht="15" thickBot="1" x14ac:dyDescent="0.35">
      <c r="A5" s="52"/>
      <c r="B5" s="53"/>
      <c r="C5" s="22" t="s">
        <v>53</v>
      </c>
      <c r="D5" s="23" t="s">
        <v>20</v>
      </c>
      <c r="E5" s="12" t="s">
        <v>18</v>
      </c>
      <c r="F5" s="12" t="s">
        <v>16</v>
      </c>
      <c r="G5" s="12" t="s">
        <v>17</v>
      </c>
      <c r="H5" s="12" t="s">
        <v>58</v>
      </c>
      <c r="I5" s="12" t="s">
        <v>59</v>
      </c>
      <c r="J5" s="24" t="s">
        <v>60</v>
      </c>
      <c r="K5" s="15"/>
      <c r="L5" s="52"/>
    </row>
    <row r="6" spans="1:12" x14ac:dyDescent="0.3">
      <c r="A6" s="52"/>
      <c r="B6" s="53"/>
      <c r="C6" s="16">
        <f t="shared" ref="C6:C14" si="0">CODE(D6)</f>
        <v>66</v>
      </c>
      <c r="D6" s="9" t="s">
        <v>9</v>
      </c>
      <c r="E6" s="29">
        <f>0.05*100</f>
        <v>5</v>
      </c>
      <c r="F6" s="29">
        <f>100*0.2</f>
        <v>20</v>
      </c>
      <c r="G6" s="35">
        <v>-5</v>
      </c>
      <c r="H6" s="30">
        <v>0</v>
      </c>
      <c r="I6" s="31">
        <v>0</v>
      </c>
      <c r="J6" s="32">
        <v>0</v>
      </c>
      <c r="K6" s="55"/>
      <c r="L6" s="52"/>
    </row>
    <row r="7" spans="1:12" x14ac:dyDescent="0.3">
      <c r="A7" s="52"/>
      <c r="B7" s="53"/>
      <c r="C7" s="5">
        <f t="shared" si="0"/>
        <v>70</v>
      </c>
      <c r="D7" s="9" t="s">
        <v>8</v>
      </c>
      <c r="E7" s="29">
        <v>2</v>
      </c>
      <c r="F7" s="29">
        <v>5</v>
      </c>
      <c r="G7" s="31">
        <v>0</v>
      </c>
      <c r="H7" s="31">
        <v>0</v>
      </c>
      <c r="I7" s="29">
        <v>2</v>
      </c>
      <c r="J7" s="33">
        <v>5</v>
      </c>
      <c r="K7" s="56"/>
      <c r="L7" s="52"/>
    </row>
    <row r="8" spans="1:12" x14ac:dyDescent="0.3">
      <c r="A8" s="52"/>
      <c r="B8" s="53"/>
      <c r="C8" s="5">
        <f t="shared" si="0"/>
        <v>84</v>
      </c>
      <c r="D8" s="9" t="s">
        <v>57</v>
      </c>
      <c r="E8" s="29">
        <v>2</v>
      </c>
      <c r="F8" s="29">
        <v>5</v>
      </c>
      <c r="G8" s="29">
        <v>2</v>
      </c>
      <c r="H8" s="29">
        <v>5</v>
      </c>
      <c r="I8" s="31"/>
      <c r="J8" s="32">
        <v>0</v>
      </c>
      <c r="K8" s="55"/>
      <c r="L8" s="52"/>
    </row>
    <row r="9" spans="1:12" x14ac:dyDescent="0.3">
      <c r="A9" s="52"/>
      <c r="B9" s="53"/>
      <c r="C9" s="5">
        <f t="shared" si="0"/>
        <v>83</v>
      </c>
      <c r="D9" s="9" t="s">
        <v>10</v>
      </c>
      <c r="E9" s="31">
        <v>0</v>
      </c>
      <c r="F9" s="31">
        <v>0</v>
      </c>
      <c r="G9" s="29">
        <v>5</v>
      </c>
      <c r="H9" s="29">
        <v>20</v>
      </c>
      <c r="I9" s="30">
        <v>-5</v>
      </c>
      <c r="J9" s="34">
        <v>0</v>
      </c>
      <c r="K9" s="57"/>
      <c r="L9" s="52"/>
    </row>
    <row r="10" spans="1:12" x14ac:dyDescent="0.3">
      <c r="A10" s="52"/>
      <c r="B10" s="53"/>
      <c r="C10" s="5">
        <f t="shared" si="0"/>
        <v>87</v>
      </c>
      <c r="D10" s="9" t="s">
        <v>11</v>
      </c>
      <c r="E10" s="31">
        <v>0</v>
      </c>
      <c r="F10" s="31">
        <v>0</v>
      </c>
      <c r="G10" s="29">
        <v>2</v>
      </c>
      <c r="H10" s="29">
        <v>5</v>
      </c>
      <c r="I10" s="29">
        <v>2</v>
      </c>
      <c r="J10" s="33">
        <v>5</v>
      </c>
      <c r="K10" s="56"/>
      <c r="L10" s="52"/>
    </row>
    <row r="11" spans="1:12" x14ac:dyDescent="0.3">
      <c r="A11" s="52"/>
      <c r="B11" s="53"/>
      <c r="C11" s="5">
        <f t="shared" si="0"/>
        <v>77</v>
      </c>
      <c r="D11" s="9" t="s">
        <v>12</v>
      </c>
      <c r="E11" s="29">
        <v>2</v>
      </c>
      <c r="F11" s="29">
        <v>5</v>
      </c>
      <c r="G11" s="29">
        <v>2</v>
      </c>
      <c r="H11" s="29">
        <v>5</v>
      </c>
      <c r="I11" s="31">
        <v>0</v>
      </c>
      <c r="J11" s="32">
        <v>0</v>
      </c>
      <c r="K11" s="55"/>
      <c r="L11" s="52"/>
    </row>
    <row r="12" spans="1:12" x14ac:dyDescent="0.3">
      <c r="A12" s="52"/>
      <c r="B12" s="53"/>
      <c r="C12" s="5">
        <f t="shared" si="0"/>
        <v>82</v>
      </c>
      <c r="D12" s="9" t="s">
        <v>13</v>
      </c>
      <c r="E12" s="30">
        <v>-5</v>
      </c>
      <c r="F12" s="30">
        <v>0</v>
      </c>
      <c r="G12" s="31">
        <v>0</v>
      </c>
      <c r="H12" s="31">
        <v>0</v>
      </c>
      <c r="I12" s="29">
        <v>5</v>
      </c>
      <c r="J12" s="33">
        <v>20</v>
      </c>
      <c r="K12" s="56"/>
      <c r="L12" s="52"/>
    </row>
    <row r="13" spans="1:12" x14ac:dyDescent="0.3">
      <c r="A13" s="52"/>
      <c r="B13" s="53"/>
      <c r="C13" s="5">
        <f t="shared" si="0"/>
        <v>68</v>
      </c>
      <c r="D13" s="9" t="s">
        <v>14</v>
      </c>
      <c r="E13" s="29">
        <v>2</v>
      </c>
      <c r="F13" s="29">
        <v>5</v>
      </c>
      <c r="G13" s="31">
        <v>0</v>
      </c>
      <c r="H13" s="31">
        <v>0</v>
      </c>
      <c r="I13" s="29">
        <v>2</v>
      </c>
      <c r="J13" s="33">
        <v>5</v>
      </c>
      <c r="K13" s="56"/>
      <c r="L13" s="52"/>
    </row>
    <row r="14" spans="1:12" x14ac:dyDescent="0.3">
      <c r="A14" s="52"/>
      <c r="B14" s="53"/>
      <c r="C14" s="5">
        <f t="shared" si="0"/>
        <v>65</v>
      </c>
      <c r="D14" s="9" t="s">
        <v>15</v>
      </c>
      <c r="E14" s="31">
        <v>0</v>
      </c>
      <c r="F14" s="31">
        <v>0</v>
      </c>
      <c r="G14" s="29">
        <v>2</v>
      </c>
      <c r="H14" s="29">
        <v>5</v>
      </c>
      <c r="I14" s="29">
        <v>2</v>
      </c>
      <c r="J14" s="33">
        <v>5</v>
      </c>
      <c r="K14" s="56"/>
      <c r="L14" s="52"/>
    </row>
    <row r="15" spans="1:12" x14ac:dyDescent="0.3">
      <c r="A15" s="52"/>
      <c r="B15" s="53"/>
      <c r="C15" s="53"/>
      <c r="D15" s="58"/>
      <c r="E15" s="58"/>
      <c r="F15" s="58"/>
      <c r="G15" s="59"/>
      <c r="H15" s="59"/>
      <c r="I15" s="58"/>
      <c r="J15" s="58"/>
      <c r="K15" s="58"/>
      <c r="L15" s="52"/>
    </row>
    <row r="16" spans="1:12" x14ac:dyDescent="0.3">
      <c r="A16" s="52"/>
      <c r="B16" s="52"/>
      <c r="C16" s="52"/>
      <c r="D16" s="52"/>
      <c r="E16" s="60"/>
      <c r="F16" s="195"/>
      <c r="G16" s="195"/>
      <c r="H16" s="195"/>
      <c r="I16" s="195"/>
      <c r="J16" s="195"/>
      <c r="K16" s="195"/>
      <c r="L16" s="195"/>
    </row>
    <row r="17" spans="5:12" x14ac:dyDescent="0.3">
      <c r="E17" s="39"/>
      <c r="F17" s="15"/>
      <c r="G17" s="15"/>
      <c r="H17" s="15"/>
      <c r="I17" s="15"/>
      <c r="J17" s="15"/>
      <c r="K17" s="15"/>
      <c r="L17" s="15"/>
    </row>
    <row r="18" spans="5:12" x14ac:dyDescent="0.3">
      <c r="E18" s="14"/>
      <c r="F18" s="36"/>
      <c r="G18" s="36"/>
      <c r="H18" s="37"/>
      <c r="I18" s="37"/>
      <c r="J18" s="38"/>
      <c r="K18" s="38"/>
      <c r="L18" s="38"/>
    </row>
    <row r="19" spans="5:12" x14ac:dyDescent="0.3">
      <c r="E19" s="14"/>
      <c r="F19" s="36"/>
      <c r="G19" s="36"/>
      <c r="H19" s="38"/>
      <c r="I19" s="38"/>
      <c r="J19" s="36"/>
      <c r="K19" s="36"/>
      <c r="L19" s="36"/>
    </row>
    <row r="20" spans="5:12" x14ac:dyDescent="0.3">
      <c r="E20" s="14"/>
      <c r="F20" s="36"/>
      <c r="G20" s="36"/>
      <c r="H20" s="36"/>
      <c r="I20" s="36"/>
      <c r="J20" s="38"/>
      <c r="K20" s="38"/>
      <c r="L20" s="38"/>
    </row>
    <row r="21" spans="5:12" x14ac:dyDescent="0.3">
      <c r="E21" s="14"/>
      <c r="F21" s="38"/>
      <c r="G21" s="38"/>
      <c r="H21" s="36"/>
      <c r="I21" s="36"/>
      <c r="J21" s="37"/>
      <c r="K21" s="37"/>
      <c r="L21" s="37"/>
    </row>
    <row r="22" spans="5:12" x14ac:dyDescent="0.3">
      <c r="E22" s="14"/>
      <c r="F22" s="38"/>
      <c r="G22" s="38"/>
      <c r="H22" s="36"/>
      <c r="I22" s="36"/>
      <c r="J22" s="36"/>
      <c r="K22" s="36"/>
      <c r="L22" s="36"/>
    </row>
    <row r="23" spans="5:12" x14ac:dyDescent="0.3">
      <c r="E23" s="14"/>
      <c r="F23" s="36"/>
      <c r="G23" s="36"/>
      <c r="H23" s="36"/>
      <c r="I23" s="36"/>
      <c r="J23" s="38"/>
      <c r="K23" s="38"/>
      <c r="L23" s="38"/>
    </row>
    <row r="24" spans="5:12" x14ac:dyDescent="0.3">
      <c r="E24" s="14"/>
      <c r="F24" s="37"/>
      <c r="G24" s="37"/>
      <c r="H24" s="38"/>
      <c r="I24" s="38"/>
      <c r="J24" s="36"/>
      <c r="K24" s="36"/>
      <c r="L24" s="36"/>
    </row>
    <row r="25" spans="5:12" x14ac:dyDescent="0.3">
      <c r="E25" s="14"/>
      <c r="F25" s="36"/>
      <c r="G25" s="36"/>
      <c r="H25" s="38"/>
      <c r="I25" s="38"/>
      <c r="J25" s="36"/>
      <c r="K25" s="36"/>
      <c r="L25" s="36"/>
    </row>
    <row r="26" spans="5:12" x14ac:dyDescent="0.3">
      <c r="E26" s="14"/>
      <c r="F26" s="38"/>
      <c r="G26" s="38"/>
      <c r="H26" s="36"/>
      <c r="I26" s="36"/>
      <c r="J26" s="36"/>
      <c r="K26" s="36"/>
      <c r="L26" s="36"/>
    </row>
  </sheetData>
  <dataConsolidate/>
  <mergeCells count="8">
    <mergeCell ref="C3:J3"/>
    <mergeCell ref="C4:D4"/>
    <mergeCell ref="F16:G16"/>
    <mergeCell ref="H16:I16"/>
    <mergeCell ref="J16:L16"/>
    <mergeCell ref="E4:F4"/>
    <mergeCell ref="G4:H4"/>
    <mergeCell ref="I4:J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6877-AA4F-4C66-BDF1-C8708B05160F}">
  <sheetPr codeName="Sheet4"/>
  <dimension ref="A1:P24"/>
  <sheetViews>
    <sheetView workbookViewId="0">
      <selection activeCell="N11" sqref="N11"/>
    </sheetView>
  </sheetViews>
  <sheetFormatPr defaultRowHeight="14.4" x14ac:dyDescent="0.3"/>
  <cols>
    <col min="1" max="1" width="2.21875" style="2" customWidth="1"/>
    <col min="2" max="2" width="3.21875" style="2" customWidth="1"/>
    <col min="3" max="3" width="8.88671875" style="2" customWidth="1"/>
    <col min="4" max="4" width="25.109375" style="2" customWidth="1"/>
    <col min="5" max="14" width="8.88671875" style="2"/>
    <col min="15" max="15" width="3.88671875" style="2" customWidth="1"/>
    <col min="16" max="16" width="3.21875" style="2" customWidth="1"/>
    <col min="17" max="16384" width="8.88671875" style="2"/>
  </cols>
  <sheetData>
    <row r="1" spans="1:16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ht="15" thickBot="1" x14ac:dyDescent="0.35">
      <c r="A2" s="46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46"/>
    </row>
    <row r="3" spans="1:16" ht="15" thickBot="1" x14ac:dyDescent="0.35">
      <c r="A3" s="46"/>
      <c r="B3" s="198"/>
      <c r="C3" s="138" t="s">
        <v>21</v>
      </c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40"/>
      <c r="O3" s="198"/>
      <c r="P3" s="46"/>
    </row>
    <row r="4" spans="1:16" ht="15" thickBot="1" x14ac:dyDescent="0.35">
      <c r="A4" s="46"/>
      <c r="B4" s="198"/>
      <c r="C4" s="138" t="s">
        <v>65</v>
      </c>
      <c r="D4" s="140"/>
      <c r="E4" s="200" t="s">
        <v>0</v>
      </c>
      <c r="F4" s="201"/>
      <c r="G4" s="202" t="s">
        <v>2</v>
      </c>
      <c r="H4" s="201"/>
      <c r="I4" s="202" t="s">
        <v>1</v>
      </c>
      <c r="J4" s="200"/>
      <c r="K4" s="138" t="s">
        <v>3</v>
      </c>
      <c r="L4" s="203"/>
      <c r="M4" s="139" t="s">
        <v>4</v>
      </c>
      <c r="N4" s="203"/>
      <c r="O4" s="198"/>
      <c r="P4" s="46"/>
    </row>
    <row r="5" spans="1:16" ht="15" thickBot="1" x14ac:dyDescent="0.35">
      <c r="A5" s="46"/>
      <c r="B5" s="198"/>
      <c r="C5" s="12" t="s">
        <v>26</v>
      </c>
      <c r="D5" s="12" t="s">
        <v>20</v>
      </c>
      <c r="E5" s="12" t="s">
        <v>18</v>
      </c>
      <c r="F5" s="12" t="s">
        <v>16</v>
      </c>
      <c r="G5" s="12" t="s">
        <v>17</v>
      </c>
      <c r="H5" s="12" t="s">
        <v>58</v>
      </c>
      <c r="I5" s="12" t="s">
        <v>59</v>
      </c>
      <c r="J5" s="12" t="s">
        <v>60</v>
      </c>
      <c r="K5" s="12" t="s">
        <v>67</v>
      </c>
      <c r="L5" s="12" t="s">
        <v>68</v>
      </c>
      <c r="M5" s="12" t="s">
        <v>69</v>
      </c>
      <c r="N5" s="12" t="s">
        <v>70</v>
      </c>
      <c r="O5" s="198"/>
      <c r="P5" s="46"/>
    </row>
    <row r="6" spans="1:16" x14ac:dyDescent="0.3">
      <c r="A6" s="46"/>
      <c r="B6" s="198"/>
      <c r="C6" s="3">
        <f>CODE(Table4[[#This Row],[Class Type]])</f>
        <v>68</v>
      </c>
      <c r="D6" s="47" t="s">
        <v>24</v>
      </c>
      <c r="E6" s="63">
        <v>0</v>
      </c>
      <c r="F6" s="41">
        <v>0</v>
      </c>
      <c r="G6" s="41">
        <v>0</v>
      </c>
      <c r="H6" s="41">
        <v>0</v>
      </c>
      <c r="I6" s="40">
        <v>25</v>
      </c>
      <c r="J6" s="40">
        <v>30</v>
      </c>
      <c r="K6" s="41">
        <v>0</v>
      </c>
      <c r="L6" s="41">
        <v>0</v>
      </c>
      <c r="M6" s="41">
        <v>0</v>
      </c>
      <c r="N6" s="41">
        <v>0</v>
      </c>
      <c r="O6" s="198"/>
      <c r="P6" s="46"/>
    </row>
    <row r="7" spans="1:16" x14ac:dyDescent="0.3">
      <c r="A7" s="46"/>
      <c r="B7" s="198"/>
      <c r="C7" s="3">
        <f>CODE(Table4[[#This Row],[Class Type]])</f>
        <v>73</v>
      </c>
      <c r="D7" s="48" t="s">
        <v>23</v>
      </c>
      <c r="E7" s="50">
        <v>0</v>
      </c>
      <c r="F7" s="27">
        <v>0</v>
      </c>
      <c r="G7" s="25">
        <v>25</v>
      </c>
      <c r="H7" s="25">
        <v>30</v>
      </c>
      <c r="I7" s="27">
        <v>0</v>
      </c>
      <c r="J7" s="27">
        <v>0</v>
      </c>
      <c r="K7" s="27">
        <v>0</v>
      </c>
      <c r="L7" s="27">
        <v>0</v>
      </c>
      <c r="M7" s="27">
        <v>0</v>
      </c>
      <c r="N7" s="27">
        <v>0</v>
      </c>
      <c r="O7" s="198"/>
      <c r="P7" s="46"/>
    </row>
    <row r="8" spans="1:16" x14ac:dyDescent="0.3">
      <c r="A8" s="46"/>
      <c r="B8" s="198"/>
      <c r="C8" s="3">
        <f>CODE(Table4[[#This Row],[Class Type]])</f>
        <v>77</v>
      </c>
      <c r="D8" s="48" t="s">
        <v>81</v>
      </c>
      <c r="E8" s="50">
        <v>0</v>
      </c>
      <c r="F8" s="27">
        <v>0</v>
      </c>
      <c r="G8" s="27">
        <v>0</v>
      </c>
      <c r="H8" s="62">
        <v>0</v>
      </c>
      <c r="I8" s="27">
        <v>0</v>
      </c>
      <c r="J8" s="27">
        <v>0</v>
      </c>
      <c r="K8" s="25">
        <v>10</v>
      </c>
      <c r="L8" s="25">
        <v>30</v>
      </c>
      <c r="M8" s="27">
        <v>0</v>
      </c>
      <c r="N8" s="27">
        <v>0</v>
      </c>
      <c r="O8" s="198"/>
      <c r="P8" s="46"/>
    </row>
    <row r="9" spans="1:16" x14ac:dyDescent="0.3">
      <c r="A9" s="46"/>
      <c r="B9" s="198"/>
      <c r="C9" s="3">
        <f>CODE(Table4[[#This Row],[Class Type]])</f>
        <v>78</v>
      </c>
      <c r="D9" s="48" t="s">
        <v>72</v>
      </c>
      <c r="E9" s="50">
        <v>0</v>
      </c>
      <c r="F9" s="65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198"/>
      <c r="P9" s="46"/>
    </row>
    <row r="10" spans="1:16" x14ac:dyDescent="0.3">
      <c r="A10" s="46"/>
      <c r="B10" s="198"/>
      <c r="C10" s="3">
        <f>CODE(Table4[[#This Row],[Class Type]])</f>
        <v>83</v>
      </c>
      <c r="D10" s="48" t="s">
        <v>22</v>
      </c>
      <c r="E10" s="64">
        <v>25</v>
      </c>
      <c r="F10" s="25">
        <v>30</v>
      </c>
      <c r="G10" s="27">
        <v>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0</v>
      </c>
      <c r="N10" s="62">
        <v>17</v>
      </c>
      <c r="O10" s="198"/>
      <c r="P10" s="46"/>
    </row>
    <row r="11" spans="1:16" ht="15" thickBot="1" x14ac:dyDescent="0.35">
      <c r="A11" s="46"/>
      <c r="B11" s="198"/>
      <c r="C11" s="3">
        <f>CODE(Table4[[#This Row],[Class Type]])</f>
        <v>86</v>
      </c>
      <c r="D11" s="49" t="s">
        <v>25</v>
      </c>
      <c r="E11" s="51">
        <v>0</v>
      </c>
      <c r="F11" s="66">
        <v>17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3">
        <v>10</v>
      </c>
      <c r="N11" s="43">
        <v>30</v>
      </c>
      <c r="O11" s="198"/>
      <c r="P11" s="46"/>
    </row>
    <row r="12" spans="1:16" x14ac:dyDescent="0.3">
      <c r="A12" s="46"/>
      <c r="B12" s="198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198"/>
      <c r="P12" s="46"/>
    </row>
    <row r="13" spans="1:16" ht="15" thickBot="1" x14ac:dyDescent="0.35">
      <c r="A13" s="46"/>
      <c r="B13" s="198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198"/>
      <c r="P13" s="46"/>
    </row>
    <row r="14" spans="1:16" ht="15" thickBot="1" x14ac:dyDescent="0.35">
      <c r="A14" s="46"/>
      <c r="B14" s="198"/>
      <c r="C14" s="138" t="s">
        <v>27</v>
      </c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40"/>
      <c r="O14" s="198"/>
      <c r="P14" s="46"/>
    </row>
    <row r="15" spans="1:16" ht="15" thickBot="1" x14ac:dyDescent="0.35">
      <c r="A15" s="46"/>
      <c r="B15" s="198"/>
      <c r="C15" s="138" t="s">
        <v>65</v>
      </c>
      <c r="D15" s="203"/>
      <c r="E15" s="200" t="s">
        <v>0</v>
      </c>
      <c r="F15" s="201"/>
      <c r="G15" s="202" t="s">
        <v>2</v>
      </c>
      <c r="H15" s="201"/>
      <c r="I15" s="202" t="s">
        <v>1</v>
      </c>
      <c r="J15" s="200"/>
      <c r="K15" s="138" t="s">
        <v>3</v>
      </c>
      <c r="L15" s="203"/>
      <c r="M15" s="139" t="s">
        <v>4</v>
      </c>
      <c r="N15" s="203"/>
      <c r="O15" s="198"/>
      <c r="P15" s="46"/>
    </row>
    <row r="16" spans="1:16" ht="15" thickBot="1" x14ac:dyDescent="0.35">
      <c r="A16" s="46"/>
      <c r="B16" s="198"/>
      <c r="C16" s="21" t="s">
        <v>26</v>
      </c>
      <c r="D16" s="21" t="s">
        <v>20</v>
      </c>
      <c r="E16" s="12" t="s">
        <v>18</v>
      </c>
      <c r="F16" s="12" t="s">
        <v>16</v>
      </c>
      <c r="G16" s="12" t="s">
        <v>17</v>
      </c>
      <c r="H16" s="12" t="s">
        <v>58</v>
      </c>
      <c r="I16" s="12" t="s">
        <v>59</v>
      </c>
      <c r="J16" s="12" t="s">
        <v>60</v>
      </c>
      <c r="K16" s="12" t="s">
        <v>67</v>
      </c>
      <c r="L16" s="12" t="s">
        <v>68</v>
      </c>
      <c r="M16" s="12" t="s">
        <v>69</v>
      </c>
      <c r="N16" s="24" t="s">
        <v>70</v>
      </c>
      <c r="O16" s="198"/>
      <c r="P16" s="46"/>
    </row>
    <row r="17" spans="1:16" x14ac:dyDescent="0.3">
      <c r="A17" s="46"/>
      <c r="B17" s="198"/>
      <c r="C17" s="4">
        <v>86</v>
      </c>
      <c r="D17" s="47" t="s">
        <v>79</v>
      </c>
      <c r="E17" s="63">
        <v>0</v>
      </c>
      <c r="F17" s="68">
        <v>-17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4">
        <v>-10</v>
      </c>
      <c r="N17" s="45">
        <v>30</v>
      </c>
      <c r="O17" s="198"/>
      <c r="P17" s="46"/>
    </row>
    <row r="18" spans="1:16" x14ac:dyDescent="0.3">
      <c r="A18" s="46"/>
      <c r="B18" s="198"/>
      <c r="C18" s="4">
        <f>CODE(Table5[[#This Row],[Class Type]])</f>
        <v>68</v>
      </c>
      <c r="D18" s="48" t="s">
        <v>30</v>
      </c>
      <c r="E18" s="50">
        <v>0</v>
      </c>
      <c r="F18" s="27">
        <v>0</v>
      </c>
      <c r="G18" s="27">
        <v>0</v>
      </c>
      <c r="H18" s="27">
        <v>0</v>
      </c>
      <c r="I18" s="26">
        <v>-10</v>
      </c>
      <c r="J18" s="26">
        <v>-30</v>
      </c>
      <c r="K18" s="27">
        <v>0</v>
      </c>
      <c r="L18" s="27">
        <v>0</v>
      </c>
      <c r="M18" s="27">
        <v>0</v>
      </c>
      <c r="N18" s="28">
        <v>0</v>
      </c>
      <c r="O18" s="198"/>
      <c r="P18" s="46"/>
    </row>
    <row r="19" spans="1:16" x14ac:dyDescent="0.3">
      <c r="A19" s="46"/>
      <c r="B19" s="198"/>
      <c r="C19" s="4">
        <f>CODE(Table5[[#This Row],[Class Type]])</f>
        <v>73</v>
      </c>
      <c r="D19" s="48" t="s">
        <v>29</v>
      </c>
      <c r="E19" s="50">
        <v>0</v>
      </c>
      <c r="F19" s="27">
        <v>0</v>
      </c>
      <c r="G19" s="26">
        <v>-10</v>
      </c>
      <c r="H19" s="26">
        <v>-30</v>
      </c>
      <c r="I19" s="27">
        <v>0</v>
      </c>
      <c r="J19" s="27">
        <v>0</v>
      </c>
      <c r="K19" s="27">
        <v>0</v>
      </c>
      <c r="L19" s="27">
        <v>0</v>
      </c>
      <c r="M19" s="27">
        <v>0</v>
      </c>
      <c r="N19" s="28">
        <v>0</v>
      </c>
      <c r="O19" s="198"/>
      <c r="P19" s="46"/>
    </row>
    <row r="20" spans="1:16" x14ac:dyDescent="0.3">
      <c r="A20" s="46"/>
      <c r="B20" s="198"/>
      <c r="C20" s="4">
        <f>CODE(Table5[[#This Row],[Class Type]])</f>
        <v>77</v>
      </c>
      <c r="D20" s="48" t="s">
        <v>80</v>
      </c>
      <c r="E20" s="50">
        <v>0</v>
      </c>
      <c r="F20" s="27">
        <v>0</v>
      </c>
      <c r="G20" s="27">
        <v>0</v>
      </c>
      <c r="H20" s="61">
        <v>-17</v>
      </c>
      <c r="I20" s="27">
        <v>0</v>
      </c>
      <c r="J20" s="27">
        <v>0</v>
      </c>
      <c r="K20" s="26">
        <v>-10</v>
      </c>
      <c r="L20" s="26">
        <v>-30</v>
      </c>
      <c r="M20" s="27">
        <v>0</v>
      </c>
      <c r="N20" s="28">
        <v>0</v>
      </c>
      <c r="O20" s="198"/>
      <c r="P20" s="46"/>
    </row>
    <row r="21" spans="1:16" x14ac:dyDescent="0.3">
      <c r="A21" s="46"/>
      <c r="B21" s="198"/>
      <c r="C21" s="4">
        <f>CODE(Table5[[#This Row],[Class Type]])</f>
        <v>78</v>
      </c>
      <c r="D21" s="48" t="s">
        <v>73</v>
      </c>
      <c r="E21" s="50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7">
        <v>0</v>
      </c>
      <c r="N21" s="28">
        <v>0</v>
      </c>
      <c r="O21" s="198"/>
      <c r="P21" s="46"/>
    </row>
    <row r="22" spans="1:16" ht="15" thickBot="1" x14ac:dyDescent="0.35">
      <c r="A22" s="46"/>
      <c r="B22" s="198"/>
      <c r="C22" s="4">
        <f>CODE(Table5[[#This Row],[Class Type]])</f>
        <v>83</v>
      </c>
      <c r="D22" s="49" t="s">
        <v>28</v>
      </c>
      <c r="E22" s="67">
        <v>-10</v>
      </c>
      <c r="F22" s="26">
        <v>-30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69">
        <v>-17</v>
      </c>
      <c r="O22" s="198"/>
      <c r="P22" s="46"/>
    </row>
    <row r="23" spans="1:16" x14ac:dyDescent="0.3">
      <c r="A23" s="46"/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8"/>
      <c r="P23" s="46"/>
    </row>
    <row r="24" spans="1:16" x14ac:dyDescent="0.3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</sheetData>
  <mergeCells count="19">
    <mergeCell ref="C4:D4"/>
    <mergeCell ref="C15:D15"/>
    <mergeCell ref="M4:N4"/>
    <mergeCell ref="B2:O2"/>
    <mergeCell ref="O3:O23"/>
    <mergeCell ref="B23:N23"/>
    <mergeCell ref="B3:B22"/>
    <mergeCell ref="C3:N3"/>
    <mergeCell ref="C14:N14"/>
    <mergeCell ref="E15:F15"/>
    <mergeCell ref="G15:H15"/>
    <mergeCell ref="I15:J15"/>
    <mergeCell ref="E4:F4"/>
    <mergeCell ref="G4:H4"/>
    <mergeCell ref="I4:J4"/>
    <mergeCell ref="K4:L4"/>
    <mergeCell ref="C12:N13"/>
    <mergeCell ref="K15:L15"/>
    <mergeCell ref="M15:N15"/>
  </mergeCell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7F8D-8E20-4DA5-993B-BA70DB4C701F}">
  <sheetPr codeName="Sheet7"/>
  <dimension ref="A1:I44"/>
  <sheetViews>
    <sheetView workbookViewId="0">
      <selection activeCell="D5" sqref="D5"/>
    </sheetView>
  </sheetViews>
  <sheetFormatPr defaultRowHeight="14.4" x14ac:dyDescent="0.3"/>
  <cols>
    <col min="1" max="1" width="22.5546875" customWidth="1"/>
    <col min="2" max="2" width="20.21875" customWidth="1"/>
    <col min="3" max="3" width="28.33203125" bestFit="1" customWidth="1"/>
  </cols>
  <sheetData>
    <row r="1" spans="1:9" x14ac:dyDescent="0.3">
      <c r="A1" t="s">
        <v>35</v>
      </c>
      <c r="B1" t="s">
        <v>36</v>
      </c>
      <c r="C1" t="s">
        <v>115</v>
      </c>
    </row>
    <row r="2" spans="1:9" x14ac:dyDescent="0.3">
      <c r="A2" s="124" t="s">
        <v>9</v>
      </c>
      <c r="B2" s="124" t="s">
        <v>8</v>
      </c>
      <c r="C2">
        <v>63</v>
      </c>
    </row>
    <row r="3" spans="1:9" ht="15" thickBot="1" x14ac:dyDescent="0.35">
      <c r="A3" s="124" t="s">
        <v>9</v>
      </c>
      <c r="B3" s="124" t="s">
        <v>57</v>
      </c>
    </row>
    <row r="4" spans="1:9" x14ac:dyDescent="0.3">
      <c r="A4" s="124" t="s">
        <v>9</v>
      </c>
      <c r="B4" s="124" t="s">
        <v>10</v>
      </c>
      <c r="I4" s="123" t="s">
        <v>20</v>
      </c>
    </row>
    <row r="5" spans="1:9" x14ac:dyDescent="0.3">
      <c r="A5" s="124" t="s">
        <v>9</v>
      </c>
      <c r="B5" s="124" t="s">
        <v>11</v>
      </c>
      <c r="I5" s="124" t="s">
        <v>9</v>
      </c>
    </row>
    <row r="6" spans="1:9" x14ac:dyDescent="0.3">
      <c r="A6" s="124" t="s">
        <v>9</v>
      </c>
      <c r="B6" s="124" t="s">
        <v>12</v>
      </c>
      <c r="I6" s="124" t="s">
        <v>8</v>
      </c>
    </row>
    <row r="7" spans="1:9" x14ac:dyDescent="0.3">
      <c r="A7" s="124" t="s">
        <v>9</v>
      </c>
      <c r="B7" s="124" t="s">
        <v>13</v>
      </c>
      <c r="I7" s="124" t="s">
        <v>57</v>
      </c>
    </row>
    <row r="8" spans="1:9" x14ac:dyDescent="0.3">
      <c r="A8" s="124" t="s">
        <v>9</v>
      </c>
      <c r="B8" s="124" t="s">
        <v>14</v>
      </c>
      <c r="I8" s="124" t="s">
        <v>10</v>
      </c>
    </row>
    <row r="9" spans="1:9" ht="15" thickBot="1" x14ac:dyDescent="0.35">
      <c r="A9" s="124" t="s">
        <v>9</v>
      </c>
      <c r="B9" s="125" t="s">
        <v>15</v>
      </c>
      <c r="I9" s="124" t="s">
        <v>11</v>
      </c>
    </row>
    <row r="10" spans="1:9" x14ac:dyDescent="0.3">
      <c r="I10" s="124" t="s">
        <v>12</v>
      </c>
    </row>
    <row r="11" spans="1:9" x14ac:dyDescent="0.3">
      <c r="A11" s="124" t="s">
        <v>8</v>
      </c>
      <c r="B11" s="124" t="s">
        <v>57</v>
      </c>
      <c r="I11" s="124" t="s">
        <v>13</v>
      </c>
    </row>
    <row r="12" spans="1:9" x14ac:dyDescent="0.3">
      <c r="A12" s="124" t="s">
        <v>8</v>
      </c>
      <c r="B12" s="124" t="s">
        <v>10</v>
      </c>
      <c r="I12" s="124" t="s">
        <v>14</v>
      </c>
    </row>
    <row r="13" spans="1:9" ht="15" thickBot="1" x14ac:dyDescent="0.35">
      <c r="A13" s="124" t="s">
        <v>8</v>
      </c>
      <c r="B13" s="124" t="s">
        <v>11</v>
      </c>
      <c r="I13" s="125" t="s">
        <v>15</v>
      </c>
    </row>
    <row r="14" spans="1:9" x14ac:dyDescent="0.3">
      <c r="A14" s="124" t="s">
        <v>8</v>
      </c>
      <c r="B14" s="124" t="s">
        <v>12</v>
      </c>
    </row>
    <row r="15" spans="1:9" x14ac:dyDescent="0.3">
      <c r="A15" s="124" t="s">
        <v>8</v>
      </c>
      <c r="B15" s="124" t="s">
        <v>13</v>
      </c>
    </row>
    <row r="16" spans="1:9" x14ac:dyDescent="0.3">
      <c r="A16" s="124" t="s">
        <v>8</v>
      </c>
      <c r="B16" s="124" t="s">
        <v>14</v>
      </c>
    </row>
    <row r="17" spans="1:2" ht="15" thickBot="1" x14ac:dyDescent="0.35">
      <c r="A17" s="124" t="s">
        <v>8</v>
      </c>
      <c r="B17" s="125" t="s">
        <v>15</v>
      </c>
    </row>
    <row r="18" spans="1:2" x14ac:dyDescent="0.3">
      <c r="A18" s="124"/>
    </row>
    <row r="19" spans="1:2" x14ac:dyDescent="0.3">
      <c r="A19" s="124" t="s">
        <v>57</v>
      </c>
      <c r="B19" s="124" t="s">
        <v>10</v>
      </c>
    </row>
    <row r="20" spans="1:2" x14ac:dyDescent="0.3">
      <c r="A20" s="124" t="s">
        <v>57</v>
      </c>
      <c r="B20" s="124" t="s">
        <v>11</v>
      </c>
    </row>
    <row r="21" spans="1:2" x14ac:dyDescent="0.3">
      <c r="A21" s="124" t="s">
        <v>57</v>
      </c>
      <c r="B21" s="124" t="s">
        <v>12</v>
      </c>
    </row>
    <row r="22" spans="1:2" x14ac:dyDescent="0.3">
      <c r="A22" s="124" t="s">
        <v>57</v>
      </c>
      <c r="B22" s="124" t="s">
        <v>13</v>
      </c>
    </row>
    <row r="23" spans="1:2" x14ac:dyDescent="0.3">
      <c r="A23" s="124" t="s">
        <v>57</v>
      </c>
      <c r="B23" s="124" t="s">
        <v>14</v>
      </c>
    </row>
    <row r="24" spans="1:2" ht="15" thickBot="1" x14ac:dyDescent="0.35">
      <c r="A24" s="124" t="s">
        <v>57</v>
      </c>
      <c r="B24" s="125" t="s">
        <v>15</v>
      </c>
    </row>
    <row r="26" spans="1:2" x14ac:dyDescent="0.3">
      <c r="A26" s="124" t="s">
        <v>10</v>
      </c>
      <c r="B26" s="124" t="s">
        <v>11</v>
      </c>
    </row>
    <row r="27" spans="1:2" x14ac:dyDescent="0.3">
      <c r="A27" s="124" t="s">
        <v>10</v>
      </c>
      <c r="B27" s="124" t="s">
        <v>12</v>
      </c>
    </row>
    <row r="28" spans="1:2" x14ac:dyDescent="0.3">
      <c r="A28" s="124" t="s">
        <v>10</v>
      </c>
      <c r="B28" s="124" t="s">
        <v>13</v>
      </c>
    </row>
    <row r="29" spans="1:2" x14ac:dyDescent="0.3">
      <c r="A29" s="124" t="s">
        <v>10</v>
      </c>
      <c r="B29" s="124" t="s">
        <v>14</v>
      </c>
    </row>
    <row r="30" spans="1:2" ht="15" thickBot="1" x14ac:dyDescent="0.35">
      <c r="A30" s="124" t="s">
        <v>10</v>
      </c>
      <c r="B30" s="125" t="s">
        <v>15</v>
      </c>
    </row>
    <row r="31" spans="1:2" ht="15" thickBot="1" x14ac:dyDescent="0.35">
      <c r="A31" s="125"/>
    </row>
    <row r="32" spans="1:2" x14ac:dyDescent="0.3">
      <c r="A32" s="124" t="s">
        <v>11</v>
      </c>
      <c r="B32" s="124" t="s">
        <v>12</v>
      </c>
    </row>
    <row r="33" spans="1:2" x14ac:dyDescent="0.3">
      <c r="A33" s="124" t="s">
        <v>11</v>
      </c>
      <c r="B33" s="124" t="s">
        <v>13</v>
      </c>
    </row>
    <row r="34" spans="1:2" x14ac:dyDescent="0.3">
      <c r="A34" s="124" t="s">
        <v>11</v>
      </c>
      <c r="B34" s="124" t="s">
        <v>14</v>
      </c>
    </row>
    <row r="35" spans="1:2" ht="15" thickBot="1" x14ac:dyDescent="0.35">
      <c r="A35" s="124" t="s">
        <v>11</v>
      </c>
      <c r="B35" s="125" t="s">
        <v>15</v>
      </c>
    </row>
    <row r="37" spans="1:2" x14ac:dyDescent="0.3">
      <c r="A37" s="124" t="s">
        <v>12</v>
      </c>
      <c r="B37" s="124" t="s">
        <v>13</v>
      </c>
    </row>
    <row r="38" spans="1:2" x14ac:dyDescent="0.3">
      <c r="A38" s="124" t="s">
        <v>12</v>
      </c>
      <c r="B38" s="124" t="s">
        <v>14</v>
      </c>
    </row>
    <row r="39" spans="1:2" ht="15" thickBot="1" x14ac:dyDescent="0.35">
      <c r="A39" s="124" t="s">
        <v>12</v>
      </c>
      <c r="B39" s="125" t="s">
        <v>15</v>
      </c>
    </row>
    <row r="41" spans="1:2" x14ac:dyDescent="0.3">
      <c r="A41" s="124" t="s">
        <v>13</v>
      </c>
      <c r="B41" s="124" t="s">
        <v>14</v>
      </c>
    </row>
    <row r="42" spans="1:2" ht="15" thickBot="1" x14ac:dyDescent="0.35">
      <c r="A42" s="124" t="s">
        <v>13</v>
      </c>
      <c r="B42" s="125" t="s">
        <v>15</v>
      </c>
    </row>
    <row r="44" spans="1:2" ht="15" thickBot="1" x14ac:dyDescent="0.35">
      <c r="A44" s="124" t="s">
        <v>14</v>
      </c>
      <c r="B44" s="125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Instructions to Play</vt:lpstr>
      <vt:lpstr>Player Input</vt:lpstr>
      <vt:lpstr>Calculator Sheet</vt:lpstr>
      <vt:lpstr>Current Player Analytics</vt:lpstr>
      <vt:lpstr>Class Modifiers</vt:lpstr>
      <vt:lpstr>Potion and Posion Modifiers</vt:lpstr>
      <vt:lpstr>Sheet1</vt:lpstr>
      <vt:lpstr>classes</vt:lpstr>
      <vt:lpstr>classid</vt:lpstr>
      <vt:lpstr>classmods</vt:lpstr>
      <vt:lpstr>poisons</vt:lpstr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2019-08-24T17:49:39Z</dcterms:modified>
</cp:coreProperties>
</file>