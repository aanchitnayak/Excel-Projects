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ML-AI-Etc Course\Other extra documents\"/>
    </mc:Choice>
  </mc:AlternateContent>
  <xr:revisionPtr revIDLastSave="0" documentId="13_ncr:1_{60CAB99E-EFFC-492F-8FA1-06ADD6F759D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Data Generator" sheetId="1" r:id="rId1"/>
    <sheet name="Regression Analysis" sheetId="2" r:id="rId2"/>
    <sheet name="RSS versus Noi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B17" i="2" l="1"/>
  <c r="I2" i="2" l="1"/>
  <c r="C3" i="1"/>
  <c r="I3" i="2" s="1"/>
  <c r="C4" i="1"/>
  <c r="I4" i="2" s="1"/>
  <c r="C5" i="1"/>
  <c r="I5" i="2" s="1"/>
  <c r="C6" i="1"/>
  <c r="I6" i="2" s="1"/>
  <c r="C7" i="1"/>
  <c r="I7" i="2" s="1"/>
  <c r="C8" i="1"/>
  <c r="I8" i="2" s="1"/>
  <c r="C9" i="1"/>
  <c r="I9" i="2" s="1"/>
  <c r="C10" i="1"/>
  <c r="I10" i="2" s="1"/>
  <c r="C11" i="1"/>
  <c r="I11" i="2" s="1"/>
  <c r="C13" i="1"/>
  <c r="I13" i="2" s="1"/>
  <c r="C14" i="1"/>
  <c r="I14" i="2" s="1"/>
  <c r="C15" i="1"/>
  <c r="I15" i="2" s="1"/>
  <c r="C16" i="1"/>
  <c r="I16" i="2" s="1"/>
  <c r="C17" i="1"/>
  <c r="I17" i="2" s="1"/>
  <c r="C18" i="1"/>
  <c r="I18" i="2" s="1"/>
  <c r="C19" i="1"/>
  <c r="I19" i="2" s="1"/>
  <c r="C20" i="1"/>
  <c r="I20" i="2" s="1"/>
  <c r="C21" i="1"/>
  <c r="I21" i="2" s="1"/>
  <c r="C22" i="1"/>
  <c r="I22" i="2" s="1"/>
  <c r="C23" i="1"/>
  <c r="I23" i="2" s="1"/>
  <c r="C24" i="1"/>
  <c r="I24" i="2" s="1"/>
  <c r="C25" i="1"/>
  <c r="I25" i="2" s="1"/>
  <c r="C26" i="1"/>
  <c r="I26" i="2" s="1"/>
  <c r="C27" i="1"/>
  <c r="I27" i="2" s="1"/>
  <c r="C28" i="1"/>
  <c r="I28" i="2" s="1"/>
  <c r="C29" i="1"/>
  <c r="I29" i="2" s="1"/>
  <c r="C30" i="1"/>
  <c r="I30" i="2" s="1"/>
  <c r="C31" i="1"/>
  <c r="I31" i="2" s="1"/>
  <c r="C32" i="1"/>
  <c r="I32" i="2" s="1"/>
  <c r="C33" i="1"/>
  <c r="I33" i="2" s="1"/>
  <c r="C34" i="1"/>
  <c r="I34" i="2" s="1"/>
  <c r="C35" i="1"/>
  <c r="I35" i="2" s="1"/>
  <c r="C36" i="1"/>
  <c r="I36" i="2" s="1"/>
  <c r="C37" i="1"/>
  <c r="I37" i="2" s="1"/>
  <c r="C38" i="1"/>
  <c r="I38" i="2" s="1"/>
  <c r="C39" i="1"/>
  <c r="I39" i="2" s="1"/>
  <c r="C40" i="1"/>
  <c r="I40" i="2" s="1"/>
  <c r="C41" i="1"/>
  <c r="I41" i="2" s="1"/>
  <c r="C42" i="1"/>
  <c r="I42" i="2" s="1"/>
  <c r="C43" i="1"/>
  <c r="I43" i="2" s="1"/>
  <c r="C44" i="1"/>
  <c r="I44" i="2" s="1"/>
  <c r="C45" i="1"/>
  <c r="I45" i="2" s="1"/>
  <c r="C46" i="1"/>
  <c r="I46" i="2" s="1"/>
  <c r="C47" i="1"/>
  <c r="I47" i="2" s="1"/>
  <c r="C48" i="1"/>
  <c r="I48" i="2" s="1"/>
  <c r="C49" i="1"/>
  <c r="I49" i="2" s="1"/>
  <c r="C50" i="1"/>
  <c r="I50" i="2" s="1"/>
  <c r="C51" i="1"/>
  <c r="I51" i="2" s="1"/>
  <c r="C52" i="1"/>
  <c r="I52" i="2" s="1"/>
  <c r="C53" i="1"/>
  <c r="I53" i="2" s="1"/>
  <c r="C54" i="1"/>
  <c r="I54" i="2" s="1"/>
  <c r="C55" i="1"/>
  <c r="I55" i="2" s="1"/>
  <c r="C56" i="1"/>
  <c r="I56" i="2" s="1"/>
  <c r="C57" i="1"/>
  <c r="I57" i="2" s="1"/>
  <c r="C58" i="1"/>
  <c r="I58" i="2" s="1"/>
  <c r="C59" i="1"/>
  <c r="I59" i="2" s="1"/>
  <c r="C60" i="1"/>
  <c r="I60" i="2" s="1"/>
  <c r="C61" i="1"/>
  <c r="I61" i="2" s="1"/>
  <c r="C62" i="1"/>
  <c r="I62" i="2" s="1"/>
  <c r="C63" i="1"/>
  <c r="I63" i="2" s="1"/>
  <c r="C64" i="1"/>
  <c r="I64" i="2" s="1"/>
  <c r="C65" i="1"/>
  <c r="I65" i="2" s="1"/>
  <c r="C66" i="1"/>
  <c r="I66" i="2" s="1"/>
  <c r="C67" i="1"/>
  <c r="I67" i="2" s="1"/>
  <c r="C68" i="1"/>
  <c r="I68" i="2" s="1"/>
  <c r="C69" i="1"/>
  <c r="I69" i="2" s="1"/>
  <c r="C70" i="1"/>
  <c r="I70" i="2" s="1"/>
  <c r="C71" i="1"/>
  <c r="I71" i="2" s="1"/>
  <c r="C12" i="1"/>
  <c r="I12" i="2" s="1"/>
  <c r="H71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2" i="2"/>
  <c r="B1" i="2"/>
  <c r="J57" i="2" l="1"/>
  <c r="O57" i="2" s="1"/>
  <c r="J25" i="2"/>
  <c r="K25" i="2" s="1"/>
  <c r="J37" i="2"/>
  <c r="J5" i="2"/>
  <c r="J64" i="2"/>
  <c r="O64" i="2" s="1"/>
  <c r="J48" i="2"/>
  <c r="K48" i="2" s="1"/>
  <c r="J40" i="2"/>
  <c r="K40" i="2" s="1"/>
  <c r="J32" i="2"/>
  <c r="O32" i="2" s="1"/>
  <c r="J24" i="2"/>
  <c r="K24" i="2" s="1"/>
  <c r="J16" i="2"/>
  <c r="O16" i="2" s="1"/>
  <c r="J8" i="2"/>
  <c r="O8" i="2" s="1"/>
  <c r="O40" i="2"/>
  <c r="O37" i="2"/>
  <c r="K37" i="2"/>
  <c r="O5" i="2"/>
  <c r="K5" i="2"/>
  <c r="J33" i="2"/>
  <c r="J44" i="2"/>
  <c r="J12" i="2"/>
  <c r="J13" i="2"/>
  <c r="J59" i="2"/>
  <c r="J51" i="2"/>
  <c r="J35" i="2"/>
  <c r="J27" i="2"/>
  <c r="J19" i="2"/>
  <c r="J3" i="2"/>
  <c r="J53" i="2"/>
  <c r="J9" i="2"/>
  <c r="J66" i="2"/>
  <c r="J58" i="2"/>
  <c r="J50" i="2"/>
  <c r="J42" i="2"/>
  <c r="J34" i="2"/>
  <c r="J26" i="2"/>
  <c r="J18" i="2"/>
  <c r="J10" i="2"/>
  <c r="J71" i="2"/>
  <c r="J49" i="2"/>
  <c r="J29" i="2"/>
  <c r="J69" i="2"/>
  <c r="J60" i="2"/>
  <c r="J28" i="2"/>
  <c r="J56" i="2"/>
  <c r="J7" i="2"/>
  <c r="J2" i="2"/>
  <c r="J68" i="2"/>
  <c r="J36" i="2"/>
  <c r="J4" i="2"/>
  <c r="J65" i="2"/>
  <c r="J45" i="2"/>
  <c r="J63" i="2"/>
  <c r="J55" i="2"/>
  <c r="J47" i="2"/>
  <c r="J39" i="2"/>
  <c r="J31" i="2"/>
  <c r="J23" i="2"/>
  <c r="J15" i="2"/>
  <c r="J41" i="2"/>
  <c r="J21" i="2"/>
  <c r="J70" i="2"/>
  <c r="J62" i="2"/>
  <c r="J54" i="2"/>
  <c r="J46" i="2"/>
  <c r="J38" i="2"/>
  <c r="J30" i="2"/>
  <c r="J22" i="2"/>
  <c r="J14" i="2"/>
  <c r="J6" i="2"/>
  <c r="J61" i="2"/>
  <c r="J17" i="2"/>
  <c r="J52" i="2"/>
  <c r="J20" i="2"/>
  <c r="J67" i="2"/>
  <c r="J43" i="2"/>
  <c r="J11" i="2"/>
  <c r="B2" i="2"/>
  <c r="O25" i="2" l="1"/>
  <c r="O48" i="2"/>
  <c r="K57" i="2"/>
  <c r="K64" i="2"/>
  <c r="K8" i="2"/>
  <c r="O24" i="2"/>
  <c r="K32" i="2"/>
  <c r="K16" i="2"/>
  <c r="O14" i="2"/>
  <c r="K14" i="2"/>
  <c r="O63" i="2"/>
  <c r="K63" i="2"/>
  <c r="O18" i="2"/>
  <c r="K18" i="2"/>
  <c r="O53" i="2"/>
  <c r="K53" i="2"/>
  <c r="O43" i="2"/>
  <c r="K43" i="2"/>
  <c r="O45" i="2"/>
  <c r="K45" i="2"/>
  <c r="O26" i="2"/>
  <c r="K26" i="2"/>
  <c r="O67" i="2"/>
  <c r="K67" i="2"/>
  <c r="O30" i="2"/>
  <c r="K30" i="2"/>
  <c r="O15" i="2"/>
  <c r="K15" i="2"/>
  <c r="O65" i="2"/>
  <c r="K65" i="2"/>
  <c r="O60" i="2"/>
  <c r="K60" i="2"/>
  <c r="O34" i="2"/>
  <c r="K34" i="2"/>
  <c r="O19" i="2"/>
  <c r="K19" i="2"/>
  <c r="O33" i="2"/>
  <c r="K33" i="2"/>
  <c r="O20" i="2"/>
  <c r="K20" i="2"/>
  <c r="O38" i="2"/>
  <c r="K38" i="2"/>
  <c r="O23" i="2"/>
  <c r="K23" i="2"/>
  <c r="O4" i="2"/>
  <c r="K4" i="2"/>
  <c r="O69" i="2"/>
  <c r="K69" i="2"/>
  <c r="O42" i="2"/>
  <c r="K42" i="2"/>
  <c r="O27" i="2"/>
  <c r="K27" i="2"/>
  <c r="O41" i="2"/>
  <c r="K41" i="2"/>
  <c r="O3" i="2"/>
  <c r="K3" i="2"/>
  <c r="O46" i="2"/>
  <c r="K46" i="2"/>
  <c r="O36" i="2"/>
  <c r="K36" i="2"/>
  <c r="O50" i="2"/>
  <c r="K50" i="2"/>
  <c r="O17" i="2"/>
  <c r="K17" i="2"/>
  <c r="O68" i="2"/>
  <c r="K68" i="2"/>
  <c r="O58" i="2"/>
  <c r="K58" i="2"/>
  <c r="O51" i="2"/>
  <c r="K51" i="2"/>
  <c r="O11" i="2"/>
  <c r="K11" i="2"/>
  <c r="O21" i="2"/>
  <c r="K21" i="2"/>
  <c r="O56" i="2"/>
  <c r="K56" i="2"/>
  <c r="O12" i="2"/>
  <c r="K12" i="2"/>
  <c r="O22" i="2"/>
  <c r="K22" i="2"/>
  <c r="O28" i="2"/>
  <c r="K28" i="2"/>
  <c r="O44" i="2"/>
  <c r="K44" i="2"/>
  <c r="O52" i="2"/>
  <c r="K52" i="2"/>
  <c r="O31" i="2"/>
  <c r="K31" i="2"/>
  <c r="O29" i="2"/>
  <c r="K29" i="2"/>
  <c r="O35" i="2"/>
  <c r="K35" i="2"/>
  <c r="O54" i="2"/>
  <c r="K54" i="2"/>
  <c r="O39" i="2"/>
  <c r="K39" i="2"/>
  <c r="O49" i="2"/>
  <c r="K49" i="2"/>
  <c r="O61" i="2"/>
  <c r="K61" i="2"/>
  <c r="O62" i="2"/>
  <c r="K62" i="2"/>
  <c r="O47" i="2"/>
  <c r="K47" i="2"/>
  <c r="O2" i="2"/>
  <c r="K2" i="2"/>
  <c r="O71" i="2"/>
  <c r="K71" i="2"/>
  <c r="O66" i="2"/>
  <c r="K66" i="2"/>
  <c r="O59" i="2"/>
  <c r="K59" i="2"/>
  <c r="O6" i="2"/>
  <c r="K6" i="2"/>
  <c r="O70" i="2"/>
  <c r="K70" i="2"/>
  <c r="O55" i="2"/>
  <c r="K55" i="2"/>
  <c r="O7" i="2"/>
  <c r="K7" i="2"/>
  <c r="O10" i="2"/>
  <c r="K10" i="2"/>
  <c r="O9" i="2"/>
  <c r="K9" i="2"/>
  <c r="O13" i="2"/>
  <c r="K13" i="2"/>
  <c r="L17" i="2"/>
  <c r="L41" i="2"/>
  <c r="L57" i="2"/>
  <c r="L8" i="2"/>
  <c r="L16" i="2"/>
  <c r="L24" i="2"/>
  <c r="L32" i="2"/>
  <c r="L40" i="2"/>
  <c r="L48" i="2"/>
  <c r="L56" i="2"/>
  <c r="L64" i="2"/>
  <c r="L9" i="2"/>
  <c r="L33" i="2"/>
  <c r="L49" i="2"/>
  <c r="L65" i="2"/>
  <c r="L19" i="2"/>
  <c r="L34" i="2"/>
  <c r="L14" i="2"/>
  <c r="L2" i="2"/>
  <c r="L51" i="2"/>
  <c r="L67" i="2"/>
  <c r="L62" i="2"/>
  <c r="L5" i="2"/>
  <c r="L35" i="2"/>
  <c r="L15" i="2"/>
  <c r="L11" i="2"/>
  <c r="L44" i="2"/>
  <c r="L31" i="2"/>
  <c r="L50" i="2"/>
  <c r="L10" i="2"/>
  <c r="L13" i="2"/>
  <c r="L52" i="2"/>
  <c r="L29" i="2"/>
  <c r="L70" i="2"/>
  <c r="L7" i="2"/>
  <c r="L25" i="2"/>
  <c r="L39" i="2"/>
  <c r="L27" i="2"/>
  <c r="L18" i="2"/>
  <c r="L53" i="2"/>
  <c r="L4" i="2"/>
  <c r="L37" i="2"/>
  <c r="L61" i="2"/>
  <c r="L3" i="2"/>
  <c r="L22" i="2"/>
  <c r="L12" i="2"/>
  <c r="L38" i="2"/>
  <c r="L46" i="2"/>
  <c r="L20" i="2"/>
  <c r="L28" i="2"/>
  <c r="L42" i="2"/>
  <c r="L26" i="2"/>
  <c r="L21" i="2"/>
  <c r="L71" i="2"/>
  <c r="L6" i="2"/>
  <c r="L45" i="2"/>
  <c r="L58" i="2"/>
  <c r="L23" i="2"/>
  <c r="L55" i="2"/>
  <c r="L30" i="2"/>
  <c r="L43" i="2"/>
  <c r="L59" i="2"/>
  <c r="L47" i="2"/>
  <c r="L54" i="2"/>
  <c r="L63" i="2"/>
  <c r="L60" i="2"/>
  <c r="L68" i="2"/>
  <c r="L66" i="2"/>
  <c r="L36" i="2"/>
  <c r="L69" i="2"/>
  <c r="N3" i="2" l="1"/>
  <c r="M3" i="2"/>
  <c r="N31" i="2"/>
  <c r="M31" i="2"/>
  <c r="N8" i="2"/>
  <c r="M8" i="2"/>
  <c r="N55" i="2"/>
  <c r="M55" i="2"/>
  <c r="N61" i="2"/>
  <c r="M61" i="2"/>
  <c r="N44" i="2"/>
  <c r="M44" i="2"/>
  <c r="N64" i="2"/>
  <c r="M64" i="2"/>
  <c r="N60" i="2"/>
  <c r="M60" i="2"/>
  <c r="N28" i="2"/>
  <c r="M28" i="2"/>
  <c r="N70" i="2"/>
  <c r="M70" i="2"/>
  <c r="N14" i="2"/>
  <c r="M14" i="2"/>
  <c r="N56" i="2"/>
  <c r="M56" i="2"/>
  <c r="N63" i="2"/>
  <c r="M63" i="2"/>
  <c r="N58" i="2"/>
  <c r="M58" i="2"/>
  <c r="N20" i="2"/>
  <c r="M20" i="2"/>
  <c r="N4" i="2"/>
  <c r="M4" i="2"/>
  <c r="N29" i="2"/>
  <c r="M29" i="2"/>
  <c r="N15" i="2"/>
  <c r="M15" i="2"/>
  <c r="N34" i="2"/>
  <c r="M34" i="2"/>
  <c r="N48" i="2"/>
  <c r="M48" i="2"/>
  <c r="N17" i="2"/>
  <c r="M17" i="2"/>
  <c r="N26" i="2"/>
  <c r="M26" i="2"/>
  <c r="N25" i="2"/>
  <c r="M25" i="2"/>
  <c r="N9" i="2"/>
  <c r="M9" i="2"/>
  <c r="N68" i="2"/>
  <c r="M68" i="2"/>
  <c r="N42" i="2"/>
  <c r="M42" i="2"/>
  <c r="N7" i="2"/>
  <c r="M7" i="2"/>
  <c r="N2" i="2"/>
  <c r="M2" i="2"/>
  <c r="N23" i="2"/>
  <c r="M23" i="2"/>
  <c r="N37" i="2"/>
  <c r="M37" i="2"/>
  <c r="N11" i="2"/>
  <c r="M11" i="2"/>
  <c r="N41" i="2"/>
  <c r="M41" i="2"/>
  <c r="N54" i="2"/>
  <c r="M54" i="2"/>
  <c r="N45" i="2"/>
  <c r="M45" i="2"/>
  <c r="N46" i="2"/>
  <c r="M46" i="2"/>
  <c r="N53" i="2"/>
  <c r="M53" i="2"/>
  <c r="N52" i="2"/>
  <c r="M52" i="2"/>
  <c r="N35" i="2"/>
  <c r="M35" i="2"/>
  <c r="N19" i="2"/>
  <c r="M19" i="2"/>
  <c r="N40" i="2"/>
  <c r="M40" i="2"/>
  <c r="N18" i="2"/>
  <c r="M18" i="2"/>
  <c r="N66" i="2"/>
  <c r="M66" i="2"/>
  <c r="N38" i="2"/>
  <c r="M38" i="2"/>
  <c r="N5" i="2"/>
  <c r="M5" i="2"/>
  <c r="N12" i="2"/>
  <c r="M12" i="2"/>
  <c r="N47" i="2"/>
  <c r="M47" i="2"/>
  <c r="N6" i="2"/>
  <c r="M6" i="2"/>
  <c r="N13" i="2"/>
  <c r="M13" i="2"/>
  <c r="N65" i="2"/>
  <c r="M65" i="2"/>
  <c r="N32" i="2"/>
  <c r="M32" i="2"/>
  <c r="N69" i="2"/>
  <c r="M69" i="2"/>
  <c r="N59" i="2"/>
  <c r="M59" i="2"/>
  <c r="N71" i="2"/>
  <c r="M71" i="2"/>
  <c r="N27" i="2"/>
  <c r="M27" i="2"/>
  <c r="N10" i="2"/>
  <c r="M10" i="2"/>
  <c r="N62" i="2"/>
  <c r="M62" i="2"/>
  <c r="N49" i="2"/>
  <c r="M49" i="2"/>
  <c r="N24" i="2"/>
  <c r="M24" i="2"/>
  <c r="N36" i="2"/>
  <c r="M36" i="2"/>
  <c r="N43" i="2"/>
  <c r="M43" i="2"/>
  <c r="N21" i="2"/>
  <c r="M21" i="2"/>
  <c r="N22" i="2"/>
  <c r="M22" i="2"/>
  <c r="N39" i="2"/>
  <c r="M39" i="2"/>
  <c r="N50" i="2"/>
  <c r="M50" i="2"/>
  <c r="N67" i="2"/>
  <c r="M67" i="2"/>
  <c r="N33" i="2"/>
  <c r="M33" i="2"/>
  <c r="N16" i="2"/>
  <c r="M16" i="2"/>
  <c r="N30" i="2"/>
  <c r="M30" i="2"/>
  <c r="N51" i="2"/>
  <c r="M51" i="2"/>
  <c r="N57" i="2"/>
  <c r="M57" i="2"/>
  <c r="B5" i="2" l="1"/>
  <c r="B20" i="2"/>
  <c r="B4" i="2" l="1"/>
  <c r="P33" i="2" s="1"/>
  <c r="Q33" i="2" s="1"/>
  <c r="R33" i="2" s="1"/>
  <c r="P53" i="2" l="1"/>
  <c r="Q53" i="2" s="1"/>
  <c r="R53" i="2" s="1"/>
  <c r="P29" i="2"/>
  <c r="Q29" i="2" s="1"/>
  <c r="R29" i="2" s="1"/>
  <c r="P10" i="2"/>
  <c r="Q10" i="2" s="1"/>
  <c r="R10" i="2" s="1"/>
  <c r="P32" i="2"/>
  <c r="Q32" i="2" s="1"/>
  <c r="R32" i="2" s="1"/>
  <c r="P55" i="2"/>
  <c r="Q55" i="2" s="1"/>
  <c r="R55" i="2" s="1"/>
  <c r="P7" i="2"/>
  <c r="Q7" i="2" s="1"/>
  <c r="R7" i="2" s="1"/>
  <c r="P5" i="2"/>
  <c r="Q5" i="2" s="1"/>
  <c r="R5" i="2" s="1"/>
  <c r="P60" i="2"/>
  <c r="Q60" i="2" s="1"/>
  <c r="R60" i="2" s="1"/>
  <c r="P36" i="2"/>
  <c r="Q36" i="2" s="1"/>
  <c r="R36" i="2" s="1"/>
  <c r="P56" i="2"/>
  <c r="Q56" i="2" s="1"/>
  <c r="R56" i="2" s="1"/>
  <c r="P17" i="2"/>
  <c r="Q17" i="2" s="1"/>
  <c r="R17" i="2" s="1"/>
  <c r="P62" i="2"/>
  <c r="Q62" i="2" s="1"/>
  <c r="R62" i="2" s="1"/>
  <c r="P27" i="2"/>
  <c r="Q27" i="2" s="1"/>
  <c r="R27" i="2" s="1"/>
  <c r="P13" i="2"/>
  <c r="Q13" i="2" s="1"/>
  <c r="R13" i="2" s="1"/>
  <c r="P64" i="2"/>
  <c r="Q64" i="2" s="1"/>
  <c r="R64" i="2" s="1"/>
  <c r="P20" i="2"/>
  <c r="Q20" i="2" s="1"/>
  <c r="R20" i="2" s="1"/>
  <c r="P38" i="2"/>
  <c r="Q38" i="2" s="1"/>
  <c r="R38" i="2" s="1"/>
  <c r="P11" i="2"/>
  <c r="Q11" i="2" s="1"/>
  <c r="R11" i="2" s="1"/>
  <c r="P69" i="2"/>
  <c r="Q69" i="2" s="1"/>
  <c r="R69" i="2" s="1"/>
  <c r="P4" i="2"/>
  <c r="Q4" i="2" s="1"/>
  <c r="R4" i="2" s="1"/>
  <c r="P44" i="2"/>
  <c r="Q44" i="2" s="1"/>
  <c r="R44" i="2" s="1"/>
  <c r="P46" i="2"/>
  <c r="Q46" i="2" s="1"/>
  <c r="R46" i="2" s="1"/>
  <c r="P18" i="2"/>
  <c r="Q18" i="2" s="1"/>
  <c r="R18" i="2" s="1"/>
  <c r="P51" i="2"/>
  <c r="Q51" i="2" s="1"/>
  <c r="R51" i="2" s="1"/>
  <c r="P57" i="2"/>
  <c r="Q57" i="2" s="1"/>
  <c r="R57" i="2" s="1"/>
  <c r="P47" i="2"/>
  <c r="Q47" i="2" s="1"/>
  <c r="R47" i="2" s="1"/>
  <c r="P9" i="2"/>
  <c r="Q9" i="2" s="1"/>
  <c r="R9" i="2" s="1"/>
  <c r="P34" i="2"/>
  <c r="Q34" i="2" s="1"/>
  <c r="R34" i="2" s="1"/>
  <c r="P50" i="2"/>
  <c r="Q50" i="2" s="1"/>
  <c r="R50" i="2" s="1"/>
  <c r="P28" i="2"/>
  <c r="Q28" i="2" s="1"/>
  <c r="R28" i="2" s="1"/>
  <c r="P63" i="2"/>
  <c r="Q63" i="2" s="1"/>
  <c r="R63" i="2" s="1"/>
  <c r="P6" i="2"/>
  <c r="Q6" i="2" s="1"/>
  <c r="R6" i="2" s="1"/>
  <c r="P54" i="2"/>
  <c r="Q54" i="2" s="1"/>
  <c r="R54" i="2" s="1"/>
  <c r="P39" i="2"/>
  <c r="Q39" i="2" s="1"/>
  <c r="R39" i="2" s="1"/>
  <c r="P59" i="2"/>
  <c r="Q59" i="2" s="1"/>
  <c r="R59" i="2" s="1"/>
  <c r="P48" i="2"/>
  <c r="Q48" i="2" s="1"/>
  <c r="R48" i="2" s="1"/>
  <c r="P26" i="2"/>
  <c r="Q26" i="2" s="1"/>
  <c r="R26" i="2" s="1"/>
  <c r="P49" i="2"/>
  <c r="Q49" i="2" s="1"/>
  <c r="R49" i="2" s="1"/>
  <c r="P23" i="2"/>
  <c r="Q23" i="2" s="1"/>
  <c r="R23" i="2" s="1"/>
  <c r="P37" i="2"/>
  <c r="Q37" i="2" s="1"/>
  <c r="R37" i="2" s="1"/>
  <c r="P15" i="2"/>
  <c r="Q15" i="2" s="1"/>
  <c r="R15" i="2" s="1"/>
  <c r="P31" i="2"/>
  <c r="Q31" i="2" s="1"/>
  <c r="R31" i="2" s="1"/>
  <c r="P22" i="2"/>
  <c r="Q22" i="2" s="1"/>
  <c r="R22" i="2" s="1"/>
  <c r="P8" i="2"/>
  <c r="Q8" i="2" s="1"/>
  <c r="R8" i="2" s="1"/>
  <c r="P66" i="2"/>
  <c r="Q66" i="2" s="1"/>
  <c r="R66" i="2" s="1"/>
  <c r="P40" i="2"/>
  <c r="Q40" i="2" s="1"/>
  <c r="R40" i="2" s="1"/>
  <c r="P2" i="2"/>
  <c r="Q2" i="2" s="1"/>
  <c r="R2" i="2" s="1"/>
  <c r="P43" i="2"/>
  <c r="Q43" i="2" s="1"/>
  <c r="R43" i="2" s="1"/>
  <c r="P3" i="2"/>
  <c r="Q3" i="2" s="1"/>
  <c r="R3" i="2" s="1"/>
  <c r="P52" i="2"/>
  <c r="Q52" i="2" s="1"/>
  <c r="R52" i="2" s="1"/>
  <c r="P35" i="2"/>
  <c r="Q35" i="2" s="1"/>
  <c r="R35" i="2" s="1"/>
  <c r="P68" i="2"/>
  <c r="Q68" i="2" s="1"/>
  <c r="R68" i="2" s="1"/>
  <c r="P24" i="2"/>
  <c r="Q24" i="2" s="1"/>
  <c r="R24" i="2" s="1"/>
  <c r="P21" i="2"/>
  <c r="Q21" i="2" s="1"/>
  <c r="R21" i="2" s="1"/>
  <c r="P71" i="2"/>
  <c r="Q71" i="2" s="1"/>
  <c r="R71" i="2" s="1"/>
  <c r="P30" i="2"/>
  <c r="Q30" i="2" s="1"/>
  <c r="R30" i="2" s="1"/>
  <c r="P61" i="2"/>
  <c r="Q61" i="2" s="1"/>
  <c r="R61" i="2" s="1"/>
  <c r="P67" i="2"/>
  <c r="Q67" i="2" s="1"/>
  <c r="R67" i="2" s="1"/>
  <c r="P45" i="2"/>
  <c r="Q45" i="2" s="1"/>
  <c r="R45" i="2" s="1"/>
  <c r="P42" i="2"/>
  <c r="Q42" i="2" s="1"/>
  <c r="R42" i="2" s="1"/>
  <c r="P16" i="2"/>
  <c r="Q16" i="2" s="1"/>
  <c r="R16" i="2" s="1"/>
  <c r="P58" i="2"/>
  <c r="Q58" i="2" s="1"/>
  <c r="R58" i="2" s="1"/>
  <c r="P25" i="2"/>
  <c r="Q25" i="2" s="1"/>
  <c r="R25" i="2" s="1"/>
  <c r="P12" i="2"/>
  <c r="Q12" i="2" s="1"/>
  <c r="R12" i="2" s="1"/>
  <c r="P14" i="2"/>
  <c r="Q14" i="2" s="1"/>
  <c r="R14" i="2" s="1"/>
  <c r="P41" i="2"/>
  <c r="Q41" i="2" s="1"/>
  <c r="R41" i="2" s="1"/>
  <c r="P19" i="2"/>
  <c r="Q19" i="2" s="1"/>
  <c r="R19" i="2" s="1"/>
  <c r="P70" i="2"/>
  <c r="Q70" i="2" s="1"/>
  <c r="R70" i="2" s="1"/>
  <c r="P65" i="2"/>
  <c r="Q65" i="2" s="1"/>
  <c r="R65" i="2" s="1"/>
  <c r="B7" i="2" l="1"/>
  <c r="B19" i="2" s="1"/>
  <c r="B8" i="2"/>
  <c r="B9" i="2" l="1"/>
  <c r="B6" i="2" s="1"/>
  <c r="B11" i="2" s="1"/>
  <c r="B22" i="2" s="1"/>
  <c r="B23" i="2" s="1"/>
  <c r="C14" i="2" l="1"/>
  <c r="B14" i="2"/>
  <c r="B10" i="2"/>
  <c r="B15" i="2" s="1"/>
  <c r="C15" i="2" l="1"/>
</calcChain>
</file>

<file path=xl/sharedStrings.xml><?xml version="1.0" encoding="utf-8"?>
<sst xmlns="http://schemas.openxmlformats.org/spreadsheetml/2006/main" count="46" uniqueCount="39">
  <si>
    <t>X</t>
  </si>
  <si>
    <t>Noise</t>
  </si>
  <si>
    <t>Y</t>
  </si>
  <si>
    <t>Mean (X)</t>
  </si>
  <si>
    <t>Mean (Y)</t>
  </si>
  <si>
    <t>Estimated Intercept</t>
  </si>
  <si>
    <t>Estimated Slope</t>
  </si>
  <si>
    <t>Dev X</t>
  </si>
  <si>
    <t>Dev Y</t>
  </si>
  <si>
    <t>Prod Dev XY</t>
  </si>
  <si>
    <t>X-MeanX Sq</t>
  </si>
  <si>
    <t>Pred Y</t>
  </si>
  <si>
    <t>Pred Error</t>
  </si>
  <si>
    <t>RSS</t>
  </si>
  <si>
    <t>Pred Error Sq</t>
  </si>
  <si>
    <t>Noise Variance</t>
  </si>
  <si>
    <t>Index</t>
  </si>
  <si>
    <t>MSE</t>
  </si>
  <si>
    <t>SE for intercept</t>
  </si>
  <si>
    <t>RSE</t>
  </si>
  <si>
    <t>Estimated Variance</t>
  </si>
  <si>
    <t>Dev X Sq</t>
  </si>
  <si>
    <t xml:space="preserve">SE for Slope </t>
  </si>
  <si>
    <t>95% Confidence Interval for Slope</t>
  </si>
  <si>
    <t>UB</t>
  </si>
  <si>
    <t>LB</t>
  </si>
  <si>
    <t>95% Confidence Interval for Intercept</t>
  </si>
  <si>
    <t>SE B1</t>
  </si>
  <si>
    <t>SE B0</t>
  </si>
  <si>
    <t>Mean Y</t>
  </si>
  <si>
    <t>Estimated Mean of Y</t>
  </si>
  <si>
    <t>R-squared</t>
  </si>
  <si>
    <t>Dev Y Sq</t>
  </si>
  <si>
    <t>R-Sq</t>
  </si>
  <si>
    <t>t-statistic</t>
  </si>
  <si>
    <t xml:space="preserve">p-value </t>
  </si>
  <si>
    <t>t statistic</t>
  </si>
  <si>
    <t>p-value</t>
  </si>
  <si>
    <t>Variability in Y (true values)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</si>
</sst>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A5A5A5"/>
      </patternFill>
    </fill>
  </fills>
  <borders count="1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3" borderId="11" applyNumberFormat="0" applyAlignment="0" applyProtection="0"/>
  </cellStyleXfs>
  <cellXfs count="33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0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Border="1"/>
    <xf numFmtId="0" fontId="0" fillId="0" borderId="2" xfId="0" applyFont="1" applyBorder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NumberFormat="1" applyAlignment="1"/>
    <xf numFmtId="0" fontId="0" fillId="0" borderId="4" xfId="0" applyBorder="1" applyAlignment="1"/>
    <xf numFmtId="0" fontId="0" fillId="0" borderId="5" xfId="0" applyBorder="1"/>
    <xf numFmtId="0" fontId="0" fillId="0" borderId="6" xfId="0" applyBorder="1"/>
    <xf numFmtId="0" fontId="1" fillId="0" borderId="7" xfId="0" applyFont="1" applyBorder="1" applyAlignment="1"/>
    <xf numFmtId="0" fontId="1" fillId="0" borderId="8" xfId="0" applyFont="1" applyBorder="1" applyAlignment="1">
      <alignment wrapText="1"/>
    </xf>
    <xf numFmtId="0" fontId="1" fillId="0" borderId="9" xfId="0" applyFont="1" applyBorder="1" applyAlignment="1">
      <alignment wrapText="1"/>
    </xf>
    <xf numFmtId="0" fontId="1" fillId="0" borderId="7" xfId="0" applyFont="1" applyBorder="1" applyAlignment="1">
      <alignment wrapText="1"/>
    </xf>
    <xf numFmtId="0" fontId="0" fillId="0" borderId="4" xfId="0" applyBorder="1"/>
    <xf numFmtId="0" fontId="0" fillId="0" borderId="5" xfId="0" applyBorder="1" applyAlignment="1"/>
    <xf numFmtId="0" fontId="0" fillId="0" borderId="6" xfId="0" applyBorder="1" applyAlignment="1"/>
    <xf numFmtId="0" fontId="1" fillId="0" borderId="8" xfId="0" applyFont="1" applyBorder="1" applyAlignment="1"/>
    <xf numFmtId="0" fontId="1" fillId="0" borderId="9" xfId="0" applyFont="1" applyBorder="1" applyAlignment="1"/>
    <xf numFmtId="0" fontId="0" fillId="0" borderId="3" xfId="0" applyBorder="1" applyAlignment="1">
      <alignment wrapText="1"/>
    </xf>
    <xf numFmtId="0" fontId="1" fillId="0" borderId="10" xfId="0" applyFont="1" applyBorder="1"/>
    <xf numFmtId="0" fontId="0" fillId="0" borderId="10" xfId="0" applyBorder="1"/>
    <xf numFmtId="0" fontId="1" fillId="0" borderId="3" xfId="0" applyFont="1" applyBorder="1" applyAlignment="1">
      <alignment wrapText="1"/>
    </xf>
    <xf numFmtId="0" fontId="1" fillId="0" borderId="3" xfId="0" applyFont="1" applyBorder="1"/>
    <xf numFmtId="0" fontId="0" fillId="0" borderId="8" xfId="0" applyBorder="1" applyAlignment="1"/>
    <xf numFmtId="0" fontId="0" fillId="0" borderId="9" xfId="0" applyBorder="1" applyAlignment="1"/>
    <xf numFmtId="0" fontId="1" fillId="0" borderId="12" xfId="0" applyFont="1" applyBorder="1" applyAlignment="1">
      <alignment wrapText="1"/>
    </xf>
    <xf numFmtId="0" fontId="0" fillId="0" borderId="3" xfId="0" applyBorder="1"/>
    <xf numFmtId="0" fontId="2" fillId="3" borderId="11" xfId="1"/>
  </cellXfs>
  <cellStyles count="2">
    <cellStyle name="Check Cell" xfId="1" builtinId="23"/>
    <cellStyle name="Normal" xfId="0" builtinId="0"/>
  </cellStyles>
  <dxfs count="13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Preliminary Scatter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'Data Generator'!$A$2:$A$71</c:f>
              <c:numCache>
                <c:formatCode>General</c:formatCode>
                <c:ptCount val="7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</c:numCache>
            </c:numRef>
          </c:xVal>
          <c:yVal>
            <c:numRef>
              <c:f>'Data Generator'!$B$2:$B$71</c:f>
            </c:numRef>
          </c:yVal>
          <c:smooth val="0"/>
          <c:extLst>
            <c:ext xmlns:c16="http://schemas.microsoft.com/office/drawing/2014/chart" uri="{C3380CC4-5D6E-409C-BE32-E72D297353CC}">
              <c16:uniqueId val="{00000000-CCC5-485D-8A9A-41BBFDC9DED7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Generator'!$A$2:$A$71</c:f>
              <c:numCache>
                <c:formatCode>General</c:formatCode>
                <c:ptCount val="7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</c:numCache>
            </c:numRef>
          </c:xVal>
          <c:yVal>
            <c:numRef>
              <c:f>'Data Generator'!$C$2:$C$71</c:f>
              <c:numCache>
                <c:formatCode>General</c:formatCode>
                <c:ptCount val="70"/>
                <c:pt idx="0">
                  <c:v>4.5378868547085904</c:v>
                </c:pt>
                <c:pt idx="1">
                  <c:v>-2.5761543268578002</c:v>
                </c:pt>
                <c:pt idx="2">
                  <c:v>14.919098706773482</c:v>
                </c:pt>
                <c:pt idx="3">
                  <c:v>7.7202583169002192</c:v>
                </c:pt>
                <c:pt idx="4">
                  <c:v>16.248937349348989</c:v>
                </c:pt>
                <c:pt idx="5">
                  <c:v>13.808978923028247</c:v>
                </c:pt>
                <c:pt idx="6">
                  <c:v>-0.9306699412696755</c:v>
                </c:pt>
                <c:pt idx="7">
                  <c:v>12.288043036670491</c:v>
                </c:pt>
                <c:pt idx="8">
                  <c:v>11.284789025556197</c:v>
                </c:pt>
                <c:pt idx="9">
                  <c:v>26.866801438227068</c:v>
                </c:pt>
                <c:pt idx="10">
                  <c:v>20.501318036343378</c:v>
                </c:pt>
                <c:pt idx="11">
                  <c:v>34.530293608358349</c:v>
                </c:pt>
                <c:pt idx="12">
                  <c:v>21.625529885020512</c:v>
                </c:pt>
                <c:pt idx="13">
                  <c:v>19.468157749037125</c:v>
                </c:pt>
                <c:pt idx="14">
                  <c:v>21.505472789745447</c:v>
                </c:pt>
                <c:pt idx="15">
                  <c:v>26.877437697228231</c:v>
                </c:pt>
                <c:pt idx="16">
                  <c:v>45.814131420775226</c:v>
                </c:pt>
                <c:pt idx="17">
                  <c:v>16.788402742521427</c:v>
                </c:pt>
                <c:pt idx="18">
                  <c:v>44.290631986913787</c:v>
                </c:pt>
                <c:pt idx="19">
                  <c:v>21.234125008678667</c:v>
                </c:pt>
                <c:pt idx="20">
                  <c:v>30.135193901173775</c:v>
                </c:pt>
                <c:pt idx="21">
                  <c:v>35.513767611458533</c:v>
                </c:pt>
                <c:pt idx="22">
                  <c:v>48.251880870926946</c:v>
                </c:pt>
                <c:pt idx="23">
                  <c:v>49.258111115424015</c:v>
                </c:pt>
                <c:pt idx="24">
                  <c:v>52.111767489296</c:v>
                </c:pt>
                <c:pt idx="25">
                  <c:v>41.563297959443723</c:v>
                </c:pt>
                <c:pt idx="26">
                  <c:v>39.031724202332228</c:v>
                </c:pt>
                <c:pt idx="27">
                  <c:v>50.171983243891354</c:v>
                </c:pt>
                <c:pt idx="28">
                  <c:v>75.313373709162789</c:v>
                </c:pt>
                <c:pt idx="29">
                  <c:v>60.266506197264874</c:v>
                </c:pt>
                <c:pt idx="30">
                  <c:v>74.906818897047373</c:v>
                </c:pt>
                <c:pt idx="31">
                  <c:v>64.219395928981811</c:v>
                </c:pt>
                <c:pt idx="32">
                  <c:v>67.729872034891102</c:v>
                </c:pt>
                <c:pt idx="33">
                  <c:v>54.537495445100362</c:v>
                </c:pt>
                <c:pt idx="34">
                  <c:v>54.245166923210284</c:v>
                </c:pt>
                <c:pt idx="35">
                  <c:v>69.147494664631012</c:v>
                </c:pt>
                <c:pt idx="36">
                  <c:v>88.86913407519917</c:v>
                </c:pt>
                <c:pt idx="37">
                  <c:v>68.959805844293527</c:v>
                </c:pt>
                <c:pt idx="38">
                  <c:v>69.264217949875871</c:v>
                </c:pt>
                <c:pt idx="39">
                  <c:v>79.072004641522867</c:v>
                </c:pt>
                <c:pt idx="40">
                  <c:v>82.444265488982126</c:v>
                </c:pt>
                <c:pt idx="41">
                  <c:v>77.978418806882033</c:v>
                </c:pt>
                <c:pt idx="42">
                  <c:v>99.709534669269004</c:v>
                </c:pt>
                <c:pt idx="43">
                  <c:v>79.858522185875017</c:v>
                </c:pt>
                <c:pt idx="44">
                  <c:v>105.35139129549157</c:v>
                </c:pt>
                <c:pt idx="45">
                  <c:v>85.791423987509759</c:v>
                </c:pt>
                <c:pt idx="46">
                  <c:v>93.705376102255528</c:v>
                </c:pt>
                <c:pt idx="47">
                  <c:v>73.265728240031947</c:v>
                </c:pt>
                <c:pt idx="48">
                  <c:v>86.637740770873322</c:v>
                </c:pt>
                <c:pt idx="49">
                  <c:v>86.126695909865475</c:v>
                </c:pt>
                <c:pt idx="50">
                  <c:v>118.26865989372772</c:v>
                </c:pt>
                <c:pt idx="51">
                  <c:v>95.802824493217059</c:v>
                </c:pt>
                <c:pt idx="52">
                  <c:v>93.705233523273776</c:v>
                </c:pt>
                <c:pt idx="53">
                  <c:v>111.62830042612845</c:v>
                </c:pt>
                <c:pt idx="54">
                  <c:v>96.935547064338806</c:v>
                </c:pt>
                <c:pt idx="55">
                  <c:v>114.27606699015359</c:v>
                </c:pt>
                <c:pt idx="56">
                  <c:v>118.18216353174421</c:v>
                </c:pt>
                <c:pt idx="57">
                  <c:v>112.41707476405537</c:v>
                </c:pt>
                <c:pt idx="58">
                  <c:v>107.68847965590952</c:v>
                </c:pt>
                <c:pt idx="59">
                  <c:v>134.48138912063663</c:v>
                </c:pt>
                <c:pt idx="60">
                  <c:v>119.77710169329532</c:v>
                </c:pt>
                <c:pt idx="61">
                  <c:v>108.94068240247235</c:v>
                </c:pt>
                <c:pt idx="62">
                  <c:v>120.64254218693165</c:v>
                </c:pt>
                <c:pt idx="63">
                  <c:v>143.57729761683603</c:v>
                </c:pt>
                <c:pt idx="64">
                  <c:v>124.47203907448348</c:v>
                </c:pt>
                <c:pt idx="65">
                  <c:v>145.01847157160103</c:v>
                </c:pt>
                <c:pt idx="66">
                  <c:v>139.70525401712638</c:v>
                </c:pt>
                <c:pt idx="67">
                  <c:v>133.90087586982008</c:v>
                </c:pt>
                <c:pt idx="68">
                  <c:v>166.15001460108576</c:v>
                </c:pt>
                <c:pt idx="69">
                  <c:v>141.38732992524996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C5-485D-8A9A-41BBFDC9D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948400"/>
        <c:axId val="926438144"/>
      </c:scatterChart>
      <c:valAx>
        <c:axId val="134594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438144"/>
        <c:crosses val="autoZero"/>
        <c:crossBetween val="midCat"/>
      </c:valAx>
      <c:valAx>
        <c:axId val="92643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94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Regression</a:t>
            </a:r>
            <a:r>
              <a:rPr lang="en-IN" baseline="0"/>
              <a:t> Output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Predicted Line</c:v>
          </c:tx>
          <c:spPr>
            <a:ln w="444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'Regression Analysis'!$H$2:$H$71</c:f>
              <c:numCache>
                <c:formatCode>General</c:formatCode>
                <c:ptCount val="7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</c:numCache>
            </c:numRef>
          </c:xVal>
          <c:yVal>
            <c:numRef>
              <c:f>'Regression Analysis'!$P$2:$P$71</c:f>
              <c:numCache>
                <c:formatCode>General</c:formatCode>
                <c:ptCount val="70"/>
                <c:pt idx="0">
                  <c:v>-1.3936639201680796</c:v>
                </c:pt>
                <c:pt idx="1">
                  <c:v>0.66213541867404224</c:v>
                </c:pt>
                <c:pt idx="2">
                  <c:v>2.7179347575161641</c:v>
                </c:pt>
                <c:pt idx="3">
                  <c:v>4.7737340963582859</c:v>
                </c:pt>
                <c:pt idx="4">
                  <c:v>6.8295334352004069</c:v>
                </c:pt>
                <c:pt idx="5">
                  <c:v>8.8853327740425296</c:v>
                </c:pt>
                <c:pt idx="6">
                  <c:v>10.941132112884652</c:v>
                </c:pt>
                <c:pt idx="7">
                  <c:v>12.996931451726773</c:v>
                </c:pt>
                <c:pt idx="8">
                  <c:v>15.052730790568894</c:v>
                </c:pt>
                <c:pt idx="9">
                  <c:v>17.108530129411015</c:v>
                </c:pt>
                <c:pt idx="10">
                  <c:v>19.16432946825314</c:v>
                </c:pt>
                <c:pt idx="11">
                  <c:v>21.220128807095261</c:v>
                </c:pt>
                <c:pt idx="12">
                  <c:v>23.275928145937382</c:v>
                </c:pt>
                <c:pt idx="13">
                  <c:v>25.331727484779506</c:v>
                </c:pt>
                <c:pt idx="14">
                  <c:v>27.387526823621627</c:v>
                </c:pt>
                <c:pt idx="15">
                  <c:v>29.443326162463748</c:v>
                </c:pt>
                <c:pt idx="16">
                  <c:v>31.499125501305869</c:v>
                </c:pt>
                <c:pt idx="17">
                  <c:v>33.55492484014799</c:v>
                </c:pt>
                <c:pt idx="18">
                  <c:v>35.610724178990111</c:v>
                </c:pt>
                <c:pt idx="19">
                  <c:v>37.666523517832232</c:v>
                </c:pt>
                <c:pt idx="20">
                  <c:v>39.72232285667436</c:v>
                </c:pt>
                <c:pt idx="21">
                  <c:v>41.778122195516481</c:v>
                </c:pt>
                <c:pt idx="22">
                  <c:v>43.833921534358602</c:v>
                </c:pt>
                <c:pt idx="23">
                  <c:v>45.889720873200723</c:v>
                </c:pt>
                <c:pt idx="24">
                  <c:v>47.945520212042844</c:v>
                </c:pt>
                <c:pt idx="25">
                  <c:v>50.001319550884965</c:v>
                </c:pt>
                <c:pt idx="26">
                  <c:v>52.057118889727086</c:v>
                </c:pt>
                <c:pt idx="27">
                  <c:v>54.112918228569214</c:v>
                </c:pt>
                <c:pt idx="28">
                  <c:v>56.168717567411335</c:v>
                </c:pt>
                <c:pt idx="29">
                  <c:v>58.224516906253456</c:v>
                </c:pt>
                <c:pt idx="30">
                  <c:v>60.280316245095577</c:v>
                </c:pt>
                <c:pt idx="31">
                  <c:v>62.336115583937698</c:v>
                </c:pt>
                <c:pt idx="32">
                  <c:v>64.391914922779819</c:v>
                </c:pt>
                <c:pt idx="33">
                  <c:v>66.44771426162194</c:v>
                </c:pt>
                <c:pt idx="34">
                  <c:v>68.503513600464061</c:v>
                </c:pt>
                <c:pt idx="35">
                  <c:v>70.559312939306182</c:v>
                </c:pt>
                <c:pt idx="36">
                  <c:v>72.615112278148302</c:v>
                </c:pt>
                <c:pt idx="37">
                  <c:v>74.670911616990423</c:v>
                </c:pt>
                <c:pt idx="38">
                  <c:v>76.726710955832544</c:v>
                </c:pt>
                <c:pt idx="39">
                  <c:v>78.782510294674665</c:v>
                </c:pt>
                <c:pt idx="40">
                  <c:v>80.838309633516801</c:v>
                </c:pt>
                <c:pt idx="41">
                  <c:v>82.894108972358922</c:v>
                </c:pt>
                <c:pt idx="42">
                  <c:v>84.949908311201042</c:v>
                </c:pt>
                <c:pt idx="43">
                  <c:v>87.005707650043163</c:v>
                </c:pt>
                <c:pt idx="44">
                  <c:v>89.061506988885284</c:v>
                </c:pt>
                <c:pt idx="45">
                  <c:v>91.117306327727405</c:v>
                </c:pt>
                <c:pt idx="46">
                  <c:v>93.173105666569526</c:v>
                </c:pt>
                <c:pt idx="47">
                  <c:v>95.228905005411647</c:v>
                </c:pt>
                <c:pt idx="48">
                  <c:v>97.284704344253768</c:v>
                </c:pt>
                <c:pt idx="49">
                  <c:v>99.340503683095889</c:v>
                </c:pt>
                <c:pt idx="50">
                  <c:v>101.39630302193801</c:v>
                </c:pt>
                <c:pt idx="51">
                  <c:v>103.45210236078013</c:v>
                </c:pt>
                <c:pt idx="52">
                  <c:v>105.50790169962225</c:v>
                </c:pt>
                <c:pt idx="53">
                  <c:v>107.56370103846437</c:v>
                </c:pt>
                <c:pt idx="54">
                  <c:v>109.61950037730649</c:v>
                </c:pt>
                <c:pt idx="55">
                  <c:v>111.67529971614863</c:v>
                </c:pt>
                <c:pt idx="56">
                  <c:v>113.73109905499075</c:v>
                </c:pt>
                <c:pt idx="57">
                  <c:v>115.78689839383287</c:v>
                </c:pt>
                <c:pt idx="58">
                  <c:v>117.84269773267499</c:v>
                </c:pt>
                <c:pt idx="59">
                  <c:v>119.89849707151711</c:v>
                </c:pt>
                <c:pt idx="60">
                  <c:v>121.95429641035923</c:v>
                </c:pt>
                <c:pt idx="61">
                  <c:v>124.01009574920135</c:v>
                </c:pt>
                <c:pt idx="62">
                  <c:v>126.06589508804348</c:v>
                </c:pt>
                <c:pt idx="63">
                  <c:v>128.1216944268856</c:v>
                </c:pt>
                <c:pt idx="64">
                  <c:v>130.17749376572772</c:v>
                </c:pt>
                <c:pt idx="65">
                  <c:v>132.23329310456984</c:v>
                </c:pt>
                <c:pt idx="66">
                  <c:v>134.28909244341196</c:v>
                </c:pt>
                <c:pt idx="67">
                  <c:v>136.34489178225408</c:v>
                </c:pt>
                <c:pt idx="68">
                  <c:v>138.4006911210962</c:v>
                </c:pt>
                <c:pt idx="69">
                  <c:v>140.45649045993832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4F-4796-A557-3C7AC96CA612}"/>
            </c:ext>
          </c:extLst>
        </c:ser>
        <c:ser>
          <c:idx val="1"/>
          <c:order val="1"/>
          <c:tx>
            <c:v>Actual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'Regression Analysis'!$H$2:$H$71</c:f>
              <c:numCache>
                <c:formatCode>General</c:formatCode>
                <c:ptCount val="7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</c:numCache>
            </c:numRef>
          </c:xVal>
          <c:yVal>
            <c:numRef>
              <c:f>'Regression Analysis'!$I$2:$I$71</c:f>
              <c:numCache>
                <c:formatCode>General</c:formatCode>
                <c:ptCount val="70"/>
                <c:pt idx="0">
                  <c:v>4.5378868547085904</c:v>
                </c:pt>
                <c:pt idx="1">
                  <c:v>-2.5761543268578002</c:v>
                </c:pt>
                <c:pt idx="2">
                  <c:v>14.919098706773482</c:v>
                </c:pt>
                <c:pt idx="3">
                  <c:v>7.7202583169002192</c:v>
                </c:pt>
                <c:pt idx="4">
                  <c:v>16.248937349348989</c:v>
                </c:pt>
                <c:pt idx="5">
                  <c:v>13.808978923028247</c:v>
                </c:pt>
                <c:pt idx="6">
                  <c:v>-0.9306699412696755</c:v>
                </c:pt>
                <c:pt idx="7">
                  <c:v>12.288043036670491</c:v>
                </c:pt>
                <c:pt idx="8">
                  <c:v>11.284789025556197</c:v>
                </c:pt>
                <c:pt idx="9">
                  <c:v>26.866801438227068</c:v>
                </c:pt>
                <c:pt idx="10">
                  <c:v>20.501318036343378</c:v>
                </c:pt>
                <c:pt idx="11">
                  <c:v>34.530293608358349</c:v>
                </c:pt>
                <c:pt idx="12">
                  <c:v>21.625529885020512</c:v>
                </c:pt>
                <c:pt idx="13">
                  <c:v>19.468157749037125</c:v>
                </c:pt>
                <c:pt idx="14">
                  <c:v>21.505472789745447</c:v>
                </c:pt>
                <c:pt idx="15">
                  <c:v>26.877437697228231</c:v>
                </c:pt>
                <c:pt idx="16">
                  <c:v>45.814131420775226</c:v>
                </c:pt>
                <c:pt idx="17">
                  <c:v>16.788402742521427</c:v>
                </c:pt>
                <c:pt idx="18">
                  <c:v>44.290631986913787</c:v>
                </c:pt>
                <c:pt idx="19">
                  <c:v>21.234125008678667</c:v>
                </c:pt>
                <c:pt idx="20">
                  <c:v>30.135193901173775</c:v>
                </c:pt>
                <c:pt idx="21">
                  <c:v>35.513767611458533</c:v>
                </c:pt>
                <c:pt idx="22">
                  <c:v>48.251880870926946</c:v>
                </c:pt>
                <c:pt idx="23">
                  <c:v>49.258111115424015</c:v>
                </c:pt>
                <c:pt idx="24">
                  <c:v>52.111767489296</c:v>
                </c:pt>
                <c:pt idx="25">
                  <c:v>41.563297959443723</c:v>
                </c:pt>
                <c:pt idx="26">
                  <c:v>39.031724202332228</c:v>
                </c:pt>
                <c:pt idx="27">
                  <c:v>50.171983243891354</c:v>
                </c:pt>
                <c:pt idx="28">
                  <c:v>75.313373709162789</c:v>
                </c:pt>
                <c:pt idx="29">
                  <c:v>60.266506197264874</c:v>
                </c:pt>
                <c:pt idx="30">
                  <c:v>74.906818897047373</c:v>
                </c:pt>
                <c:pt idx="31">
                  <c:v>64.219395928981811</c:v>
                </c:pt>
                <c:pt idx="32">
                  <c:v>67.729872034891102</c:v>
                </c:pt>
                <c:pt idx="33">
                  <c:v>54.537495445100362</c:v>
                </c:pt>
                <c:pt idx="34">
                  <c:v>54.245166923210284</c:v>
                </c:pt>
                <c:pt idx="35">
                  <c:v>69.147494664631012</c:v>
                </c:pt>
                <c:pt idx="36">
                  <c:v>88.86913407519917</c:v>
                </c:pt>
                <c:pt idx="37">
                  <c:v>68.959805844293527</c:v>
                </c:pt>
                <c:pt idx="38">
                  <c:v>69.264217949875871</c:v>
                </c:pt>
                <c:pt idx="39">
                  <c:v>79.072004641522867</c:v>
                </c:pt>
                <c:pt idx="40">
                  <c:v>82.444265488982126</c:v>
                </c:pt>
                <c:pt idx="41">
                  <c:v>77.978418806882033</c:v>
                </c:pt>
                <c:pt idx="42">
                  <c:v>99.709534669269004</c:v>
                </c:pt>
                <c:pt idx="43">
                  <c:v>79.858522185875017</c:v>
                </c:pt>
                <c:pt idx="44">
                  <c:v>105.35139129549157</c:v>
                </c:pt>
                <c:pt idx="45">
                  <c:v>85.791423987509759</c:v>
                </c:pt>
                <c:pt idx="46">
                  <c:v>93.705376102255528</c:v>
                </c:pt>
                <c:pt idx="47">
                  <c:v>73.265728240031947</c:v>
                </c:pt>
                <c:pt idx="48">
                  <c:v>86.637740770873322</c:v>
                </c:pt>
                <c:pt idx="49">
                  <c:v>86.126695909865475</c:v>
                </c:pt>
                <c:pt idx="50">
                  <c:v>118.26865989372772</c:v>
                </c:pt>
                <c:pt idx="51">
                  <c:v>95.802824493217059</c:v>
                </c:pt>
                <c:pt idx="52">
                  <c:v>93.705233523273776</c:v>
                </c:pt>
                <c:pt idx="53">
                  <c:v>111.62830042612845</c:v>
                </c:pt>
                <c:pt idx="54">
                  <c:v>96.935547064338806</c:v>
                </c:pt>
                <c:pt idx="55">
                  <c:v>114.27606699015359</c:v>
                </c:pt>
                <c:pt idx="56">
                  <c:v>118.18216353174421</c:v>
                </c:pt>
                <c:pt idx="57">
                  <c:v>112.41707476405537</c:v>
                </c:pt>
                <c:pt idx="58">
                  <c:v>107.68847965590952</c:v>
                </c:pt>
                <c:pt idx="59">
                  <c:v>134.48138912063663</c:v>
                </c:pt>
                <c:pt idx="60">
                  <c:v>119.77710169329532</c:v>
                </c:pt>
                <c:pt idx="61">
                  <c:v>108.94068240247235</c:v>
                </c:pt>
                <c:pt idx="62">
                  <c:v>120.64254218693165</c:v>
                </c:pt>
                <c:pt idx="63">
                  <c:v>143.57729761683603</c:v>
                </c:pt>
                <c:pt idx="64">
                  <c:v>124.47203907448348</c:v>
                </c:pt>
                <c:pt idx="65">
                  <c:v>145.01847157160103</c:v>
                </c:pt>
                <c:pt idx="66">
                  <c:v>139.70525401712638</c:v>
                </c:pt>
                <c:pt idx="67">
                  <c:v>133.90087586982008</c:v>
                </c:pt>
                <c:pt idx="68">
                  <c:v>166.15001460108576</c:v>
                </c:pt>
                <c:pt idx="69">
                  <c:v>141.38732992524996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4F-4796-A557-3C7AC96CA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334928"/>
        <c:axId val="369574176"/>
      </c:scatterChart>
      <c:valAx>
        <c:axId val="45933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74176"/>
        <c:crosses val="autoZero"/>
        <c:crossBetween val="midCat"/>
      </c:valAx>
      <c:valAx>
        <c:axId val="36957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Y and</a:t>
                </a:r>
                <a:r>
                  <a:rPr lang="en-IN" baseline="0"/>
                  <a:t> Predicted Y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Noise Variance versus RSS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'RSS versus Noise'!$B$2:$B$21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</c:numCache>
            </c:numRef>
          </c:xVal>
          <c:yVal>
            <c:numRef>
              <c:f>'RSS versus Noise'!$C$2:$C$21</c:f>
              <c:numCache>
                <c:formatCode>General</c:formatCode>
                <c:ptCount val="20"/>
                <c:pt idx="0">
                  <c:v>66.742052269217211</c:v>
                </c:pt>
                <c:pt idx="1">
                  <c:v>191.77126468727855</c:v>
                </c:pt>
                <c:pt idx="2">
                  <c:v>255.41021809300835</c:v>
                </c:pt>
                <c:pt idx="3">
                  <c:v>396.09122356048147</c:v>
                </c:pt>
                <c:pt idx="4">
                  <c:v>449.37797109929778</c:v>
                </c:pt>
                <c:pt idx="5">
                  <c:v>892.23708263524543</c:v>
                </c:pt>
                <c:pt idx="6">
                  <c:v>759.13916156479354</c:v>
                </c:pt>
                <c:pt idx="7">
                  <c:v>1091.7553320452555</c:v>
                </c:pt>
                <c:pt idx="8">
                  <c:v>1720.8190112726818</c:v>
                </c:pt>
                <c:pt idx="9">
                  <c:v>1780.5215017060441</c:v>
                </c:pt>
                <c:pt idx="10">
                  <c:v>2520.8274066914651</c:v>
                </c:pt>
                <c:pt idx="11">
                  <c:v>2752.3812521901059</c:v>
                </c:pt>
                <c:pt idx="12">
                  <c:v>3266.6590539643785</c:v>
                </c:pt>
                <c:pt idx="13">
                  <c:v>4348.0261356825658</c:v>
                </c:pt>
                <c:pt idx="14">
                  <c:v>3296.4463896486154</c:v>
                </c:pt>
                <c:pt idx="15">
                  <c:v>4996.9588581041908</c:v>
                </c:pt>
                <c:pt idx="16">
                  <c:v>4666.6546640712313</c:v>
                </c:pt>
                <c:pt idx="17">
                  <c:v>7024.2659595398072</c:v>
                </c:pt>
                <c:pt idx="18">
                  <c:v>7475.0230495304677</c:v>
                </c:pt>
                <c:pt idx="19">
                  <c:v>7266.4442579946872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D6-4A9E-9655-298604765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111888"/>
        <c:axId val="2069679456"/>
      </c:scatterChart>
      <c:valAx>
        <c:axId val="206311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Variance of Noise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679456"/>
        <c:crosses val="autoZero"/>
        <c:crossBetween val="midCat"/>
      </c:valAx>
      <c:valAx>
        <c:axId val="206967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Residual Sum of Squares 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270565666178842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11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Noise</a:t>
            </a:r>
            <a:r>
              <a:rPr lang="en-IN" baseline="0"/>
              <a:t> Variance versus MSE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'RSS versus Noise'!$B$2:$B$21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</c:numCache>
            </c:numRef>
          </c:xVal>
          <c:yVal>
            <c:numRef>
              <c:f>'RSS versus Noise'!$D$2:$D$21</c:f>
              <c:numCache>
                <c:formatCode>General</c:formatCode>
                <c:ptCount val="20"/>
                <c:pt idx="0">
                  <c:v>0.95345788956024591</c:v>
                </c:pt>
                <c:pt idx="1">
                  <c:v>2.7395894955325506</c:v>
                </c:pt>
                <c:pt idx="2">
                  <c:v>3.6487174013286907</c:v>
                </c:pt>
                <c:pt idx="3">
                  <c:v>5.6584460508640211</c:v>
                </c:pt>
                <c:pt idx="4">
                  <c:v>6.4196853014185393</c:v>
                </c:pt>
                <c:pt idx="5">
                  <c:v>12.746244037646363</c:v>
                </c:pt>
                <c:pt idx="6">
                  <c:v>10.844845165211336</c:v>
                </c:pt>
                <c:pt idx="7">
                  <c:v>15.596504743503649</c:v>
                </c:pt>
                <c:pt idx="8">
                  <c:v>24.583128732466882</c:v>
                </c:pt>
                <c:pt idx="9">
                  <c:v>25.436021452943486</c:v>
                </c:pt>
                <c:pt idx="10">
                  <c:v>36.011820095592356</c:v>
                </c:pt>
                <c:pt idx="11">
                  <c:v>39.31973217414437</c:v>
                </c:pt>
                <c:pt idx="12">
                  <c:v>46.666557913776835</c:v>
                </c:pt>
                <c:pt idx="13">
                  <c:v>62.114659081179511</c:v>
                </c:pt>
                <c:pt idx="14">
                  <c:v>47.092091280694504</c:v>
                </c:pt>
                <c:pt idx="15">
                  <c:v>71.385126544345582</c:v>
                </c:pt>
                <c:pt idx="16">
                  <c:v>66.666495201017597</c:v>
                </c:pt>
                <c:pt idx="17">
                  <c:v>100.34665656485438</c:v>
                </c:pt>
                <c:pt idx="18">
                  <c:v>106.78604356472097</c:v>
                </c:pt>
                <c:pt idx="19">
                  <c:v>103.80634654278124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6-4254-B687-33E292B69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455936"/>
        <c:axId val="1976490656"/>
      </c:scatterChart>
      <c:valAx>
        <c:axId val="206745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Variance of</a:t>
                </a:r>
                <a:r>
                  <a:rPr lang="en-IN" baseline="0"/>
                  <a:t> Noise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490656"/>
        <c:crosses val="autoZero"/>
        <c:crossBetween val="midCat"/>
      </c:valAx>
      <c:valAx>
        <c:axId val="197649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Mean</a:t>
                </a:r>
                <a:r>
                  <a:rPr lang="en-IN" baseline="0"/>
                  <a:t> Squared Error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45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Standard Error</a:t>
            </a:r>
            <a:r>
              <a:rPr lang="en-IN" baseline="0"/>
              <a:t> for Slope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'RSS versus Noise'!$B$3:$B$21</c:f>
              <c:numCache>
                <c:formatCode>General</c:formatCode>
                <c:ptCount val="19"/>
                <c:pt idx="0">
                  <c:v>1.5</c:v>
                </c:pt>
                <c:pt idx="1">
                  <c:v>2</c:v>
                </c:pt>
                <c:pt idx="2">
                  <c:v>2.5</c:v>
                </c:pt>
                <c:pt idx="3">
                  <c:v>3</c:v>
                </c:pt>
                <c:pt idx="4">
                  <c:v>3.5</c:v>
                </c:pt>
                <c:pt idx="5">
                  <c:v>4</c:v>
                </c:pt>
                <c:pt idx="6">
                  <c:v>4.5</c:v>
                </c:pt>
                <c:pt idx="7">
                  <c:v>5</c:v>
                </c:pt>
                <c:pt idx="8">
                  <c:v>5.5</c:v>
                </c:pt>
                <c:pt idx="9">
                  <c:v>6</c:v>
                </c:pt>
                <c:pt idx="10">
                  <c:v>6.5</c:v>
                </c:pt>
                <c:pt idx="11">
                  <c:v>7</c:v>
                </c:pt>
                <c:pt idx="12">
                  <c:v>7.5</c:v>
                </c:pt>
                <c:pt idx="13">
                  <c:v>8</c:v>
                </c:pt>
                <c:pt idx="14">
                  <c:v>8.5</c:v>
                </c:pt>
                <c:pt idx="15">
                  <c:v>9</c:v>
                </c:pt>
                <c:pt idx="16">
                  <c:v>9.5</c:v>
                </c:pt>
                <c:pt idx="17">
                  <c:v>10</c:v>
                </c:pt>
                <c:pt idx="18">
                  <c:v>10.5</c:v>
                </c:pt>
              </c:numCache>
            </c:numRef>
          </c:xVal>
          <c:yVal>
            <c:numRef>
              <c:f>'RSS versus Noise'!$E$3:$E$21</c:f>
              <c:numCache>
                <c:formatCode>General</c:formatCode>
                <c:ptCount val="19"/>
                <c:pt idx="0">
                  <c:v>5.0872519905560002E-3</c:v>
                </c:pt>
                <c:pt idx="1">
                  <c:v>7.5955809070817303E-3</c:v>
                </c:pt>
                <c:pt idx="2">
                  <c:v>1.1314521990281722E-2</c:v>
                </c:pt>
                <c:pt idx="3">
                  <c:v>1.2436081421569659E-2</c:v>
                </c:pt>
                <c:pt idx="4">
                  <c:v>1.9391715579290227E-2</c:v>
                </c:pt>
                <c:pt idx="5">
                  <c:v>1.7592720404261301E-2</c:v>
                </c:pt>
                <c:pt idx="6">
                  <c:v>2.1812303030695392E-2</c:v>
                </c:pt>
                <c:pt idx="7">
                  <c:v>2.8111235819521335E-2</c:v>
                </c:pt>
                <c:pt idx="8">
                  <c:v>2.8637152136263409E-2</c:v>
                </c:pt>
                <c:pt idx="9">
                  <c:v>3.4498707137760543E-2</c:v>
                </c:pt>
                <c:pt idx="10">
                  <c:v>3.6137419934980791E-2</c:v>
                </c:pt>
                <c:pt idx="11">
                  <c:v>3.9534761793095535E-2</c:v>
                </c:pt>
                <c:pt idx="12">
                  <c:v>4.5864649350600313E-2</c:v>
                </c:pt>
                <c:pt idx="13">
                  <c:v>3.9722637042962132E-2</c:v>
                </c:pt>
                <c:pt idx="14">
                  <c:v>4.9274369471472165E-2</c:v>
                </c:pt>
                <c:pt idx="15">
                  <c:v>4.7569385923713785E-2</c:v>
                </c:pt>
                <c:pt idx="16">
                  <c:v>5.8663461216608218E-2</c:v>
                </c:pt>
                <c:pt idx="17">
                  <c:v>6.0553549393426179E-2</c:v>
                </c:pt>
                <c:pt idx="18">
                  <c:v>5.9686389614069434E-2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23-4067-8E0F-B5FC8912C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76448"/>
        <c:axId val="90381936"/>
      </c:scatterChart>
      <c:valAx>
        <c:axId val="9017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Variance</a:t>
                </a:r>
                <a:r>
                  <a:rPr lang="en-IN" baseline="0"/>
                  <a:t> of Noise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81936"/>
        <c:crosses val="autoZero"/>
        <c:crossBetween val="midCat"/>
      </c:valAx>
      <c:valAx>
        <c:axId val="9038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7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RSE versus</a:t>
            </a:r>
            <a:r>
              <a:rPr lang="en-IN" baseline="0"/>
              <a:t> Noise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'RSS versus Noise'!$B$3:$B$21</c:f>
              <c:numCache>
                <c:formatCode>General</c:formatCode>
                <c:ptCount val="19"/>
                <c:pt idx="0">
                  <c:v>1.5</c:v>
                </c:pt>
                <c:pt idx="1">
                  <c:v>2</c:v>
                </c:pt>
                <c:pt idx="2">
                  <c:v>2.5</c:v>
                </c:pt>
                <c:pt idx="3">
                  <c:v>3</c:v>
                </c:pt>
                <c:pt idx="4">
                  <c:v>3.5</c:v>
                </c:pt>
                <c:pt idx="5">
                  <c:v>4</c:v>
                </c:pt>
                <c:pt idx="6">
                  <c:v>4.5</c:v>
                </c:pt>
                <c:pt idx="7">
                  <c:v>5</c:v>
                </c:pt>
                <c:pt idx="8">
                  <c:v>5.5</c:v>
                </c:pt>
                <c:pt idx="9">
                  <c:v>6</c:v>
                </c:pt>
                <c:pt idx="10">
                  <c:v>6.5</c:v>
                </c:pt>
                <c:pt idx="11">
                  <c:v>7</c:v>
                </c:pt>
                <c:pt idx="12">
                  <c:v>7.5</c:v>
                </c:pt>
                <c:pt idx="13">
                  <c:v>8</c:v>
                </c:pt>
                <c:pt idx="14">
                  <c:v>8.5</c:v>
                </c:pt>
                <c:pt idx="15">
                  <c:v>9</c:v>
                </c:pt>
                <c:pt idx="16">
                  <c:v>9.5</c:v>
                </c:pt>
                <c:pt idx="17">
                  <c:v>10</c:v>
                </c:pt>
                <c:pt idx="18">
                  <c:v>10.5</c:v>
                </c:pt>
              </c:numCache>
            </c:numRef>
          </c:xVal>
          <c:yVal>
            <c:numRef>
              <c:f>'RSS versus Noise'!$H$3:$H$21</c:f>
              <c:numCache>
                <c:formatCode>General</c:formatCode>
                <c:ptCount val="19"/>
                <c:pt idx="0">
                  <c:v>0.85999389272979754</c:v>
                </c:pt>
                <c:pt idx="1">
                  <c:v>1.2840239099521047</c:v>
                </c:pt>
                <c:pt idx="2">
                  <c:v>1.9127064727406611</c:v>
                </c:pt>
                <c:pt idx="3">
                  <c:v>2.1023047594053863</c:v>
                </c:pt>
                <c:pt idx="4">
                  <c:v>3.2781464332220369</c:v>
                </c:pt>
                <c:pt idx="5">
                  <c:v>2.9740284405518613</c:v>
                </c:pt>
                <c:pt idx="6">
                  <c:v>3.687343860220206</c:v>
                </c:pt>
                <c:pt idx="7">
                  <c:v>4.7521709494153175</c:v>
                </c:pt>
                <c:pt idx="8">
                  <c:v>4.8410764766675074</c:v>
                </c:pt>
                <c:pt idx="9">
                  <c:v>5.8319653716043582</c:v>
                </c:pt>
                <c:pt idx="10">
                  <c:v>6.1089878191190046</c:v>
                </c:pt>
                <c:pt idx="11">
                  <c:v>6.6833044157644679</c:v>
                </c:pt>
                <c:pt idx="12">
                  <c:v>7.7533643717536913</c:v>
                </c:pt>
                <c:pt idx="13">
                  <c:v>6.7150645030926173</c:v>
                </c:pt>
                <c:pt idx="14">
                  <c:v>8.3297734989821652</c:v>
                </c:pt>
                <c:pt idx="15">
                  <c:v>8.0415480599830769</c:v>
                </c:pt>
                <c:pt idx="16">
                  <c:v>9.9169882809678853</c:v>
                </c:pt>
                <c:pt idx="17">
                  <c:v>10.236505437146066</c:v>
                </c:pt>
                <c:pt idx="18">
                  <c:v>10.089913108782515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F-4111-B3AB-DB9F17473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576"/>
        <c:axId val="89077536"/>
      </c:scatterChart>
      <c:valAx>
        <c:axId val="15522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77536"/>
        <c:crosses val="autoZero"/>
        <c:crossBetween val="midCat"/>
      </c:valAx>
      <c:valAx>
        <c:axId val="89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R-Squared versus 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'RSS versus Noise'!$B$2:$B$21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</c:numCache>
            </c:numRef>
          </c:xVal>
          <c:yVal>
            <c:numRef>
              <c:f>'RSS versus Noise'!$I$2:$I$21</c:f>
              <c:numCache>
                <c:formatCode>General</c:formatCode>
                <c:ptCount val="20"/>
                <c:pt idx="0">
                  <c:v>0.99941550863162798</c:v>
                </c:pt>
                <c:pt idx="1">
                  <c:v>0.99832762923868534</c:v>
                </c:pt>
                <c:pt idx="2">
                  <c:v>0.99778397152664122</c:v>
                </c:pt>
                <c:pt idx="3">
                  <c:v>0.99655505356341689</c:v>
                </c:pt>
                <c:pt idx="4">
                  <c:v>0.99591918734437401</c:v>
                </c:pt>
                <c:pt idx="5">
                  <c:v>0.99240205665683079</c:v>
                </c:pt>
                <c:pt idx="6">
                  <c:v>0.99331154229976204</c:v>
                </c:pt>
                <c:pt idx="7">
                  <c:v>0.99010534710142883</c:v>
                </c:pt>
                <c:pt idx="8">
                  <c:v>0.98502223458760052</c:v>
                </c:pt>
                <c:pt idx="9">
                  <c:v>0.98520536457222896</c:v>
                </c:pt>
                <c:pt idx="10">
                  <c:v>0.97909757938066466</c:v>
                </c:pt>
                <c:pt idx="11">
                  <c:v>0.97637372236645148</c:v>
                </c:pt>
                <c:pt idx="12">
                  <c:v>0.97021154093318229</c:v>
                </c:pt>
                <c:pt idx="13">
                  <c:v>0.96406136421867161</c:v>
                </c:pt>
                <c:pt idx="14">
                  <c:v>0.97197876955606832</c:v>
                </c:pt>
                <c:pt idx="15">
                  <c:v>0.95729212834533983</c:v>
                </c:pt>
                <c:pt idx="16">
                  <c:v>0.96155773132667532</c:v>
                </c:pt>
                <c:pt idx="17">
                  <c:v>0.94385095044744027</c:v>
                </c:pt>
                <c:pt idx="18">
                  <c:v>0.93842394871737012</c:v>
                </c:pt>
                <c:pt idx="19">
                  <c:v>0.94325034304003508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A-4FFD-8C12-49C273C29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25599"/>
        <c:axId val="467693023"/>
      </c:scatterChart>
      <c:valAx>
        <c:axId val="140125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93023"/>
        <c:crosses val="autoZero"/>
        <c:crossBetween val="midCat"/>
      </c:valAx>
      <c:valAx>
        <c:axId val="46769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25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p-value vs</a:t>
            </a:r>
            <a:r>
              <a:rPr lang="en-IN" baseline="0"/>
              <a:t> Noise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'RSS versus Noise'!$B$3:$B$21</c:f>
              <c:numCache>
                <c:formatCode>General</c:formatCode>
                <c:ptCount val="19"/>
                <c:pt idx="0">
                  <c:v>1.5</c:v>
                </c:pt>
                <c:pt idx="1">
                  <c:v>2</c:v>
                </c:pt>
                <c:pt idx="2">
                  <c:v>2.5</c:v>
                </c:pt>
                <c:pt idx="3">
                  <c:v>3</c:v>
                </c:pt>
                <c:pt idx="4">
                  <c:v>3.5</c:v>
                </c:pt>
                <c:pt idx="5">
                  <c:v>4</c:v>
                </c:pt>
                <c:pt idx="6">
                  <c:v>4.5</c:v>
                </c:pt>
                <c:pt idx="7">
                  <c:v>5</c:v>
                </c:pt>
                <c:pt idx="8">
                  <c:v>5.5</c:v>
                </c:pt>
                <c:pt idx="9">
                  <c:v>6</c:v>
                </c:pt>
                <c:pt idx="10">
                  <c:v>6.5</c:v>
                </c:pt>
                <c:pt idx="11">
                  <c:v>7</c:v>
                </c:pt>
                <c:pt idx="12">
                  <c:v>7.5</c:v>
                </c:pt>
                <c:pt idx="13">
                  <c:v>8</c:v>
                </c:pt>
                <c:pt idx="14">
                  <c:v>8.5</c:v>
                </c:pt>
                <c:pt idx="15">
                  <c:v>9</c:v>
                </c:pt>
                <c:pt idx="16">
                  <c:v>9.5</c:v>
                </c:pt>
                <c:pt idx="17">
                  <c:v>10</c:v>
                </c:pt>
                <c:pt idx="18">
                  <c:v>10.5</c:v>
                </c:pt>
              </c:numCache>
            </c:numRef>
          </c:cat>
          <c:val>
            <c:numRef>
              <c:f>'RSS versus Noise'!$K$3:$K$21</c:f>
              <c:numCache>
                <c:formatCode>General</c:formatCode>
                <c:ptCount val="19"/>
                <c:pt idx="0">
                  <c:v>2.0493402161188679E-118</c:v>
                </c:pt>
                <c:pt idx="1">
                  <c:v>2.6282246890362147E-106</c:v>
                </c:pt>
                <c:pt idx="2">
                  <c:v>3.7324626219581464E-94</c:v>
                </c:pt>
                <c:pt idx="3">
                  <c:v>1.265961839075744E-90</c:v>
                </c:pt>
                <c:pt idx="4">
                  <c:v>4.2669415229255519E-78</c:v>
                </c:pt>
                <c:pt idx="5">
                  <c:v>1.5428386335871011E-80</c:v>
                </c:pt>
                <c:pt idx="6">
                  <c:v>1.4282933243071475E-73</c:v>
                </c:pt>
                <c:pt idx="7">
                  <c:v>1.7903495325327912E-66</c:v>
                </c:pt>
                <c:pt idx="8">
                  <c:v>1.2886757896876864E-66</c:v>
                </c:pt>
                <c:pt idx="9">
                  <c:v>5.5070620393845548E-61</c:v>
                </c:pt>
                <c:pt idx="10">
                  <c:v>4.7763030674658929E-59</c:v>
                </c:pt>
                <c:pt idx="11">
                  <c:v>2.1483653214839968E-55</c:v>
                </c:pt>
                <c:pt idx="12">
                  <c:v>2.25404032931764E-52</c:v>
                </c:pt>
                <c:pt idx="13">
                  <c:v>2.5523714474774351E-56</c:v>
                </c:pt>
                <c:pt idx="14">
                  <c:v>1.1058086913130667E-49</c:v>
                </c:pt>
                <c:pt idx="15">
                  <c:v>2.579865699621559E-51</c:v>
                </c:pt>
                <c:pt idx="16">
                  <c:v>2.1408185651605251E-45</c:v>
                </c:pt>
                <c:pt idx="17">
                  <c:v>5.6667262325153988E-44</c:v>
                </c:pt>
                <c:pt idx="18">
                  <c:v>3.1794521440023265E-45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2-46EE-906E-7CFA131A6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112351"/>
        <c:axId val="455034143"/>
      </c:lineChart>
      <c:catAx>
        <c:axId val="578112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34143"/>
        <c:crosses val="autoZero"/>
        <c:auto val="1"/>
        <c:lblAlgn val="ctr"/>
        <c:lblOffset val="100"/>
        <c:noMultiLvlLbl val="0"/>
      </c:catAx>
      <c:valAx>
        <c:axId val="45503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1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t-statistic vs 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'RSS versus Noise'!$B$3:$B$21</c:f>
              <c:numCache>
                <c:formatCode>General</c:formatCode>
                <c:ptCount val="19"/>
                <c:pt idx="0">
                  <c:v>1.5</c:v>
                </c:pt>
                <c:pt idx="1">
                  <c:v>2</c:v>
                </c:pt>
                <c:pt idx="2">
                  <c:v>2.5</c:v>
                </c:pt>
                <c:pt idx="3">
                  <c:v>3</c:v>
                </c:pt>
                <c:pt idx="4">
                  <c:v>3.5</c:v>
                </c:pt>
                <c:pt idx="5">
                  <c:v>4</c:v>
                </c:pt>
                <c:pt idx="6">
                  <c:v>4.5</c:v>
                </c:pt>
                <c:pt idx="7">
                  <c:v>5</c:v>
                </c:pt>
                <c:pt idx="8">
                  <c:v>5.5</c:v>
                </c:pt>
                <c:pt idx="9">
                  <c:v>6</c:v>
                </c:pt>
                <c:pt idx="10">
                  <c:v>6.5</c:v>
                </c:pt>
                <c:pt idx="11">
                  <c:v>7</c:v>
                </c:pt>
                <c:pt idx="12">
                  <c:v>7.5</c:v>
                </c:pt>
                <c:pt idx="13">
                  <c:v>8</c:v>
                </c:pt>
                <c:pt idx="14">
                  <c:v>8.5</c:v>
                </c:pt>
                <c:pt idx="15">
                  <c:v>9</c:v>
                </c:pt>
                <c:pt idx="16">
                  <c:v>9.5</c:v>
                </c:pt>
                <c:pt idx="17">
                  <c:v>10</c:v>
                </c:pt>
                <c:pt idx="18">
                  <c:v>10.5</c:v>
                </c:pt>
              </c:numCache>
            </c:numRef>
          </c:xVal>
          <c:yVal>
            <c:numRef>
              <c:f>'RSS versus Noise'!$J$3:$J$21</c:f>
              <c:numCache>
                <c:formatCode>General</c:formatCode>
                <c:ptCount val="19"/>
                <c:pt idx="0">
                  <c:v>393.4292648575406</c:v>
                </c:pt>
                <c:pt idx="1">
                  <c:v>264.10499589162538</c:v>
                </c:pt>
                <c:pt idx="2">
                  <c:v>176.97368471021409</c:v>
                </c:pt>
                <c:pt idx="3">
                  <c:v>157.52480008890711</c:v>
                </c:pt>
                <c:pt idx="4">
                  <c:v>104.13760554281249</c:v>
                </c:pt>
                <c:pt idx="5">
                  <c:v>112.90036063499265</c:v>
                </c:pt>
                <c:pt idx="6">
                  <c:v>89.63743954094339</c:v>
                </c:pt>
                <c:pt idx="7">
                  <c:v>70.790511019147374</c:v>
                </c:pt>
                <c:pt idx="8">
                  <c:v>71.128380094326005</c:v>
                </c:pt>
                <c:pt idx="9">
                  <c:v>58.921163800514236</c:v>
                </c:pt>
                <c:pt idx="10">
                  <c:v>55.207162486673269</c:v>
                </c:pt>
                <c:pt idx="11">
                  <c:v>48.805622953337952</c:v>
                </c:pt>
                <c:pt idx="12">
                  <c:v>44.04812476820544</c:v>
                </c:pt>
                <c:pt idx="13">
                  <c:v>50.356740175673394</c:v>
                </c:pt>
                <c:pt idx="14">
                  <c:v>40.177968502729847</c:v>
                </c:pt>
                <c:pt idx="15">
                  <c:v>42.486049168549428</c:v>
                </c:pt>
                <c:pt idx="16">
                  <c:v>34.649835531400292</c:v>
                </c:pt>
                <c:pt idx="17">
                  <c:v>32.972218583995719</c:v>
                </c:pt>
                <c:pt idx="18">
                  <c:v>34.443352196955857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6-46F5-92A9-7AC28130F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478143"/>
        <c:axId val="581753983"/>
      </c:scatterChart>
      <c:valAx>
        <c:axId val="635478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53983"/>
        <c:crosses val="autoZero"/>
        <c:crossBetween val="midCat"/>
      </c:valAx>
      <c:valAx>
        <c:axId val="58175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478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7A5C14-DEF6-4EA9-9EEE-612B09422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</xdr:row>
      <xdr:rowOff>0</xdr:rowOff>
    </xdr:from>
    <xdr:to>
      <xdr:col>26</xdr:col>
      <xdr:colOff>144780</xdr:colOff>
      <xdr:row>19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980355-A0B9-44F6-9EFB-4D42544F3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22860</xdr:colOff>
      <xdr:row>1</xdr:row>
      <xdr:rowOff>15240</xdr:rowOff>
    </xdr:from>
    <xdr:to>
      <xdr:col>27</xdr:col>
      <xdr:colOff>556260</xdr:colOff>
      <xdr:row>16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FA6A21-CB54-40D0-A204-1B4337556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30480</xdr:colOff>
      <xdr:row>16</xdr:row>
      <xdr:rowOff>64770</xdr:rowOff>
    </xdr:from>
    <xdr:to>
      <xdr:col>27</xdr:col>
      <xdr:colOff>579120</xdr:colOff>
      <xdr:row>31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A1F5FE6-4092-448F-9D06-25B9A23E24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289560</xdr:colOff>
      <xdr:row>16</xdr:row>
      <xdr:rowOff>72390</xdr:rowOff>
    </xdr:from>
    <xdr:to>
      <xdr:col>19</xdr:col>
      <xdr:colOff>594360</xdr:colOff>
      <xdr:row>31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3E72A86-5D36-4CAD-A319-4C94F88C43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297180</xdr:colOff>
      <xdr:row>1</xdr:row>
      <xdr:rowOff>34290</xdr:rowOff>
    </xdr:from>
    <xdr:to>
      <xdr:col>19</xdr:col>
      <xdr:colOff>601980</xdr:colOff>
      <xdr:row>16</xdr:row>
      <xdr:rowOff>34290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127948-A1DC-41AA-93AC-26E8D153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381000</xdr:colOff>
      <xdr:row>21</xdr:row>
      <xdr:rowOff>133350</xdr:rowOff>
    </xdr:from>
    <xdr:to>
      <xdr:col>8</xdr:col>
      <xdr:colOff>121920</xdr:colOff>
      <xdr:row>36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CCA8CDA-7A63-4ECD-B0E1-8931E2D1F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388620</xdr:colOff>
      <xdr:row>37</xdr:row>
      <xdr:rowOff>41910</xdr:rowOff>
    </xdr:from>
    <xdr:to>
      <xdr:col>8</xdr:col>
      <xdr:colOff>129540</xdr:colOff>
      <xdr:row>52</xdr:row>
      <xdr:rowOff>41910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926C44C-0F5E-4149-8402-BF1EEF0184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304800</xdr:colOff>
      <xdr:row>32</xdr:row>
      <xdr:rowOff>19050</xdr:rowOff>
    </xdr:from>
    <xdr:to>
      <xdr:col>20</xdr:col>
      <xdr:colOff>0</xdr:colOff>
      <xdr:row>47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06672E1-1099-474E-B03A-115DE64F2E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38D4A7-EBB7-4335-A032-59831E1056A8}" name="DataGen" displayName="DataGen" ref="A1:C71" totalsRowShown="0">
  <autoFilter ref="A1:C71" xr:uid="{1FA13A0A-B58B-436B-AAA2-9BF3BB4F74A3}"/>
  <tableColumns count="3">
    <tableColumn id="1" xr3:uid="{364CA402-6078-4D9E-878D-0392332B335B}" name="X"/>
    <tableColumn id="2" xr3:uid="{5B75589B-B5B0-46E3-B71C-8790F9EE4F0B}" name="Noise" dataDxfId="12">
      <calculatedColumnFormula>_xlfn.NORM.INV(RAND(),0,$F$2)</calculatedColumnFormula>
    </tableColumn>
    <tableColumn id="3" xr3:uid="{1949A5BD-F393-469F-A81D-FC843808511B}" name="Y">
      <calculatedColumnFormula>2*A2+B2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112E64-45E7-49BF-A886-39B679F3D94F}" name="NoiseVar" displayName="NoiseVar" ref="E1:F21" totalsRowShown="0" headerRowDxfId="11">
  <autoFilter ref="E1:F21" xr:uid="{B547EE96-3D82-445A-AEC7-5BCD6D603359}"/>
  <tableColumns count="2">
    <tableColumn id="1" xr3:uid="{0F2C80CC-4F05-4CC0-A480-573AC2435D14}" name="Index"/>
    <tableColumn id="2" xr3:uid="{009C5E3C-E99C-4D36-A69B-967F50F96670}" name="Noise Varia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FE0D17-6C46-42B3-9B52-C93FB9F12302}" name="Process" displayName="Process" ref="H1:R71" totalsRowShown="0">
  <autoFilter ref="H1:R71" xr:uid="{4D3352BE-7FAC-4CE6-830C-2F6E7FD7CAC1}"/>
  <tableColumns count="11">
    <tableColumn id="1" xr3:uid="{54840E25-2F6B-4891-A148-735DA1121F74}" name="X">
      <calculatedColumnFormula>'Data Generator'!A2</calculatedColumnFormula>
    </tableColumn>
    <tableColumn id="2" xr3:uid="{D70D2973-37DA-49C8-8226-354A15746D78}" name="Y">
      <calculatedColumnFormula>'Data Generator'!C2</calculatedColumnFormula>
    </tableColumn>
    <tableColumn id="3" xr3:uid="{786D4743-7224-4A96-AE15-79AA181DBF53}" name="Dev X" dataDxfId="10">
      <calculatedColumnFormula>H2 - $B$1</calculatedColumnFormula>
    </tableColumn>
    <tableColumn id="8" xr3:uid="{3330C6C4-A137-49D4-91B5-AD955CBD2C5E}" name="Dev X Sq" dataDxfId="9">
      <calculatedColumnFormula>J2^2</calculatedColumnFormula>
    </tableColumn>
    <tableColumn id="4" xr3:uid="{7730F41B-640C-49C4-8F34-8F6B9189167B}" name="Dev Y" dataDxfId="8">
      <calculatedColumnFormula>I2-$B$2</calculatedColumnFormula>
    </tableColumn>
    <tableColumn id="12" xr3:uid="{E2B68FD4-E06D-42E0-BA50-E3C5EA1C492D}" name="Dev Y Sq" dataDxfId="7">
      <calculatedColumnFormula>L2^2</calculatedColumnFormula>
    </tableColumn>
    <tableColumn id="5" xr3:uid="{92323730-EA8D-4909-9FFF-92D327794C62}" name="Prod Dev XY" dataDxfId="6">
      <calculatedColumnFormula>J2*L2</calculatedColumnFormula>
    </tableColumn>
    <tableColumn id="6" xr3:uid="{32DC1A1A-58FC-4197-91C5-D365E823CE71}" name="X-MeanX Sq" dataDxfId="5">
      <calculatedColumnFormula>J2^2</calculatedColumnFormula>
    </tableColumn>
    <tableColumn id="9" xr3:uid="{02A4BC2D-F45F-484A-8E63-7901A7F0BB14}" name="Pred Y" dataDxfId="4">
      <calculatedColumnFormula>H2*$B$5 + $B$4</calculatedColumnFormula>
    </tableColumn>
    <tableColumn id="10" xr3:uid="{E6731995-9231-4D95-A939-B86E27F09773}" name="Pred Error" dataDxfId="3">
      <calculatedColumnFormula>I2-P2</calculatedColumnFormula>
    </tableColumn>
    <tableColumn id="11" xr3:uid="{BB699EE4-D517-4073-984B-45301FCA37BA}" name="Pred Error Sq" dataDxfId="2">
      <calculatedColumnFormula>Q2^2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768AA5-1F6D-469C-8836-58C26CD4BE56}" name="RSSNoise" displayName="RSSNoise" ref="A1:K21" totalsRowShown="0">
  <autoFilter ref="A1:K21" xr:uid="{BD026509-F376-4061-9D3C-95FFECA75D49}"/>
  <tableColumns count="11">
    <tableColumn id="1" xr3:uid="{36E5B3F3-479A-445A-AF64-7F1945D1AA68}" name="Index"/>
    <tableColumn id="2" xr3:uid="{E99EB905-6BEF-489E-938C-D907CF1489BC}" name="Noise Variance" dataDxfId="1"/>
    <tableColumn id="3" xr3:uid="{5A6ECD89-DBF1-4DB0-8729-C0C6F85CF079}" name="RSS" dataDxfId="0"/>
    <tableColumn id="4" xr3:uid="{3D3B5EEF-B7FF-49B8-8348-1B6C602A7BEB}" name="MSE"/>
    <tableColumn id="5" xr3:uid="{0C3ADEBA-50CB-4BAB-BF7B-CAF1B82AD79D}" name="SE B1"/>
    <tableColumn id="6" xr3:uid="{DBD2331D-865E-47F2-A3D7-19406CF13853}" name="SE B0"/>
    <tableColumn id="7" xr3:uid="{917F82CB-FB19-4ED0-9A5A-E64B3BEBBFA6}" name="Mean Y"/>
    <tableColumn id="8" xr3:uid="{2BF69DEA-09A4-4087-ACAD-CA04EB01DF17}" name="RSE"/>
    <tableColumn id="9" xr3:uid="{3E3B9E83-06CE-4A33-A3B9-E86AB720E658}" name="R-Sq"/>
    <tableColumn id="10" xr3:uid="{21569728-8753-4413-93FB-860F50306696}" name="t statistic"/>
    <tableColumn id="11" xr3:uid="{AD8C369E-6431-471A-AB54-72E05FE01A60}" name="p-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1"/>
  <sheetViews>
    <sheetView tabSelected="1" workbookViewId="0">
      <selection activeCell="G11" sqref="G11"/>
    </sheetView>
  </sheetViews>
  <sheetFormatPr defaultRowHeight="14.4" x14ac:dyDescent="0.3"/>
  <cols>
    <col min="2" max="2" width="12.6640625" hidden="1" customWidth="1"/>
    <col min="6" max="6" width="15.77734375" bestFit="1" customWidth="1"/>
  </cols>
  <sheetData>
    <row r="1" spans="1:6" x14ac:dyDescent="0.3">
      <c r="A1" t="s">
        <v>0</v>
      </c>
      <c r="B1" t="s">
        <v>1</v>
      </c>
      <c r="C1" t="s">
        <v>2</v>
      </c>
      <c r="E1" s="4" t="s">
        <v>16</v>
      </c>
      <c r="F1" s="4" t="s">
        <v>15</v>
      </c>
    </row>
    <row r="2" spans="1:6" x14ac:dyDescent="0.3">
      <c r="A2">
        <v>1</v>
      </c>
      <c r="B2">
        <v>2.5378868547085904</v>
      </c>
      <c r="C2">
        <f>2*A2+B2</f>
        <v>4.5378868547085904</v>
      </c>
      <c r="E2" s="5">
        <v>1</v>
      </c>
      <c r="F2" s="5">
        <v>1</v>
      </c>
    </row>
    <row r="3" spans="1:6" x14ac:dyDescent="0.3">
      <c r="A3">
        <v>2</v>
      </c>
      <c r="B3">
        <v>-6.5761543268578002</v>
      </c>
      <c r="C3">
        <f t="shared" ref="C3:C66" si="0">2*A3+B3</f>
        <v>-2.5761543268578002</v>
      </c>
      <c r="E3">
        <v>2</v>
      </c>
      <c r="F3">
        <v>1.5</v>
      </c>
    </row>
    <row r="4" spans="1:6" x14ac:dyDescent="0.3">
      <c r="A4">
        <v>3</v>
      </c>
      <c r="B4">
        <v>8.9190987067734824</v>
      </c>
      <c r="C4">
        <f t="shared" si="0"/>
        <v>14.919098706773482</v>
      </c>
      <c r="E4">
        <v>3</v>
      </c>
      <c r="F4">
        <v>2</v>
      </c>
    </row>
    <row r="5" spans="1:6" x14ac:dyDescent="0.3">
      <c r="A5">
        <v>4</v>
      </c>
      <c r="B5">
        <v>-0.27974168309978037</v>
      </c>
      <c r="C5">
        <f t="shared" si="0"/>
        <v>7.7202583169002192</v>
      </c>
      <c r="E5">
        <v>4</v>
      </c>
      <c r="F5" s="5">
        <v>2.5</v>
      </c>
    </row>
    <row r="6" spans="1:6" x14ac:dyDescent="0.3">
      <c r="A6">
        <v>5</v>
      </c>
      <c r="B6">
        <v>6.2489373493489895</v>
      </c>
      <c r="C6">
        <f t="shared" si="0"/>
        <v>16.248937349348989</v>
      </c>
      <c r="E6">
        <v>5</v>
      </c>
      <c r="F6">
        <v>3</v>
      </c>
    </row>
    <row r="7" spans="1:6" x14ac:dyDescent="0.3">
      <c r="A7">
        <v>6</v>
      </c>
      <c r="B7">
        <v>1.8089789230282474</v>
      </c>
      <c r="C7">
        <f t="shared" si="0"/>
        <v>13.808978923028247</v>
      </c>
      <c r="E7">
        <v>6</v>
      </c>
      <c r="F7">
        <v>3.5</v>
      </c>
    </row>
    <row r="8" spans="1:6" x14ac:dyDescent="0.3">
      <c r="A8">
        <v>7</v>
      </c>
      <c r="B8">
        <v>-14.930669941269676</v>
      </c>
      <c r="C8">
        <f t="shared" si="0"/>
        <v>-0.9306699412696755</v>
      </c>
      <c r="E8">
        <v>7</v>
      </c>
      <c r="F8" s="5">
        <v>4</v>
      </c>
    </row>
    <row r="9" spans="1:6" x14ac:dyDescent="0.3">
      <c r="A9">
        <v>8</v>
      </c>
      <c r="B9">
        <v>-3.7119569633295093</v>
      </c>
      <c r="C9">
        <f t="shared" si="0"/>
        <v>12.288043036670491</v>
      </c>
      <c r="E9">
        <v>8</v>
      </c>
      <c r="F9">
        <v>4.5</v>
      </c>
    </row>
    <row r="10" spans="1:6" x14ac:dyDescent="0.3">
      <c r="A10">
        <v>9</v>
      </c>
      <c r="B10">
        <v>-6.7152109744438038</v>
      </c>
      <c r="C10">
        <f t="shared" si="0"/>
        <v>11.284789025556197</v>
      </c>
      <c r="E10">
        <v>9</v>
      </c>
      <c r="F10">
        <v>5</v>
      </c>
    </row>
    <row r="11" spans="1:6" x14ac:dyDescent="0.3">
      <c r="A11">
        <v>10</v>
      </c>
      <c r="B11">
        <v>6.8668014382270677</v>
      </c>
      <c r="C11">
        <f t="shared" si="0"/>
        <v>26.866801438227068</v>
      </c>
      <c r="E11">
        <v>10</v>
      </c>
      <c r="F11" s="5">
        <v>5.5</v>
      </c>
    </row>
    <row r="12" spans="1:6" x14ac:dyDescent="0.3">
      <c r="A12">
        <v>11</v>
      </c>
      <c r="B12">
        <v>-1.4986819636566209</v>
      </c>
      <c r="C12">
        <f t="shared" si="0"/>
        <v>20.501318036343378</v>
      </c>
      <c r="E12">
        <v>11</v>
      </c>
      <c r="F12" s="5">
        <v>6</v>
      </c>
    </row>
    <row r="13" spans="1:6" x14ac:dyDescent="0.3">
      <c r="A13">
        <v>12</v>
      </c>
      <c r="B13">
        <v>10.530293608358352</v>
      </c>
      <c r="C13">
        <f t="shared" si="0"/>
        <v>34.530293608358349</v>
      </c>
      <c r="E13" s="5">
        <v>12</v>
      </c>
      <c r="F13">
        <v>6.5</v>
      </c>
    </row>
    <row r="14" spans="1:6" x14ac:dyDescent="0.3">
      <c r="A14">
        <v>13</v>
      </c>
      <c r="B14">
        <v>-4.3744701149794896</v>
      </c>
      <c r="C14">
        <f t="shared" si="0"/>
        <v>21.625529885020512</v>
      </c>
      <c r="E14">
        <v>13</v>
      </c>
      <c r="F14">
        <v>7</v>
      </c>
    </row>
    <row r="15" spans="1:6" x14ac:dyDescent="0.3">
      <c r="A15">
        <v>14</v>
      </c>
      <c r="B15">
        <v>-8.5318422509628764</v>
      </c>
      <c r="C15">
        <f t="shared" si="0"/>
        <v>19.468157749037125</v>
      </c>
      <c r="E15">
        <v>14</v>
      </c>
      <c r="F15" s="5">
        <v>7.5</v>
      </c>
    </row>
    <row r="16" spans="1:6" x14ac:dyDescent="0.3">
      <c r="A16">
        <v>15</v>
      </c>
      <c r="B16">
        <v>-8.494527210254553</v>
      </c>
      <c r="C16">
        <f t="shared" si="0"/>
        <v>21.505472789745447</v>
      </c>
      <c r="E16">
        <v>15</v>
      </c>
      <c r="F16">
        <v>8</v>
      </c>
    </row>
    <row r="17" spans="1:6" x14ac:dyDescent="0.3">
      <c r="A17">
        <v>16</v>
      </c>
      <c r="B17">
        <v>-5.1225623027717697</v>
      </c>
      <c r="C17">
        <f t="shared" si="0"/>
        <v>26.877437697228231</v>
      </c>
      <c r="E17">
        <v>16</v>
      </c>
      <c r="F17">
        <v>8.5</v>
      </c>
    </row>
    <row r="18" spans="1:6" x14ac:dyDescent="0.3">
      <c r="A18">
        <v>17</v>
      </c>
      <c r="B18">
        <v>11.814131420775226</v>
      </c>
      <c r="C18">
        <f t="shared" si="0"/>
        <v>45.814131420775226</v>
      </c>
      <c r="E18">
        <v>17</v>
      </c>
      <c r="F18" s="5">
        <v>9</v>
      </c>
    </row>
    <row r="19" spans="1:6" x14ac:dyDescent="0.3">
      <c r="A19">
        <v>18</v>
      </c>
      <c r="B19">
        <v>-19.211597257478573</v>
      </c>
      <c r="C19">
        <f t="shared" si="0"/>
        <v>16.788402742521427</v>
      </c>
      <c r="E19">
        <v>18</v>
      </c>
      <c r="F19">
        <v>9.5</v>
      </c>
    </row>
    <row r="20" spans="1:6" x14ac:dyDescent="0.3">
      <c r="A20">
        <v>19</v>
      </c>
      <c r="B20">
        <v>6.2906319869137874</v>
      </c>
      <c r="C20">
        <f t="shared" si="0"/>
        <v>44.290631986913787</v>
      </c>
      <c r="E20">
        <v>19</v>
      </c>
      <c r="F20">
        <v>10</v>
      </c>
    </row>
    <row r="21" spans="1:6" x14ac:dyDescent="0.3">
      <c r="A21">
        <v>20</v>
      </c>
      <c r="B21">
        <v>-18.765874991321333</v>
      </c>
      <c r="C21">
        <f t="shared" si="0"/>
        <v>21.234125008678667</v>
      </c>
      <c r="E21">
        <v>20</v>
      </c>
      <c r="F21" s="5">
        <v>10.5</v>
      </c>
    </row>
    <row r="22" spans="1:6" x14ac:dyDescent="0.3">
      <c r="A22">
        <v>21</v>
      </c>
      <c r="B22">
        <v>-11.864806098826225</v>
      </c>
      <c r="C22">
        <f t="shared" si="0"/>
        <v>30.135193901173775</v>
      </c>
    </row>
    <row r="23" spans="1:6" x14ac:dyDescent="0.3">
      <c r="A23">
        <v>22</v>
      </c>
      <c r="B23">
        <v>-8.486232388541465</v>
      </c>
      <c r="C23">
        <f t="shared" si="0"/>
        <v>35.513767611458533</v>
      </c>
    </row>
    <row r="24" spans="1:6" x14ac:dyDescent="0.3">
      <c r="A24">
        <v>23</v>
      </c>
      <c r="B24">
        <v>2.2518808709269487</v>
      </c>
      <c r="C24">
        <f t="shared" si="0"/>
        <v>48.251880870926946</v>
      </c>
    </row>
    <row r="25" spans="1:6" x14ac:dyDescent="0.3">
      <c r="A25">
        <v>24</v>
      </c>
      <c r="B25">
        <v>1.2581111154240177</v>
      </c>
      <c r="C25">
        <f t="shared" si="0"/>
        <v>49.258111115424015</v>
      </c>
    </row>
    <row r="26" spans="1:6" x14ac:dyDescent="0.3">
      <c r="A26">
        <v>25</v>
      </c>
      <c r="B26">
        <v>2.1117674892960014</v>
      </c>
      <c r="C26">
        <f t="shared" si="0"/>
        <v>52.111767489296</v>
      </c>
    </row>
    <row r="27" spans="1:6" x14ac:dyDescent="0.3">
      <c r="A27">
        <v>26</v>
      </c>
      <c r="B27">
        <v>-10.436702040556275</v>
      </c>
      <c r="C27">
        <f t="shared" si="0"/>
        <v>41.563297959443723</v>
      </c>
    </row>
    <row r="28" spans="1:6" x14ac:dyDescent="0.3">
      <c r="A28">
        <v>27</v>
      </c>
      <c r="B28">
        <v>-14.968275797667772</v>
      </c>
      <c r="C28">
        <f t="shared" si="0"/>
        <v>39.031724202332228</v>
      </c>
    </row>
    <row r="29" spans="1:6" x14ac:dyDescent="0.3">
      <c r="A29">
        <v>28</v>
      </c>
      <c r="B29">
        <v>-5.828016756108644</v>
      </c>
      <c r="C29">
        <f t="shared" si="0"/>
        <v>50.171983243891354</v>
      </c>
    </row>
    <row r="30" spans="1:6" x14ac:dyDescent="0.3">
      <c r="A30">
        <v>29</v>
      </c>
      <c r="B30">
        <v>17.313373709162793</v>
      </c>
      <c r="C30">
        <f t="shared" si="0"/>
        <v>75.313373709162789</v>
      </c>
    </row>
    <row r="31" spans="1:6" x14ac:dyDescent="0.3">
      <c r="A31">
        <v>30</v>
      </c>
      <c r="B31">
        <v>0.26650619726487385</v>
      </c>
      <c r="C31">
        <f t="shared" si="0"/>
        <v>60.266506197264874</v>
      </c>
    </row>
    <row r="32" spans="1:6" x14ac:dyDescent="0.3">
      <c r="A32">
        <v>31</v>
      </c>
      <c r="B32">
        <v>12.90681889704738</v>
      </c>
      <c r="C32">
        <f t="shared" si="0"/>
        <v>74.906818897047373</v>
      </c>
    </row>
    <row r="33" spans="1:3" x14ac:dyDescent="0.3">
      <c r="A33">
        <v>32</v>
      </c>
      <c r="B33">
        <v>0.21939592898181093</v>
      </c>
      <c r="C33">
        <f t="shared" si="0"/>
        <v>64.219395928981811</v>
      </c>
    </row>
    <row r="34" spans="1:3" x14ac:dyDescent="0.3">
      <c r="A34">
        <v>33</v>
      </c>
      <c r="B34">
        <v>1.7298720348910988</v>
      </c>
      <c r="C34">
        <f t="shared" si="0"/>
        <v>67.729872034891102</v>
      </c>
    </row>
    <row r="35" spans="1:3" x14ac:dyDescent="0.3">
      <c r="A35">
        <v>34</v>
      </c>
      <c r="B35">
        <v>-13.462504554899642</v>
      </c>
      <c r="C35">
        <f t="shared" si="0"/>
        <v>54.537495445100362</v>
      </c>
    </row>
    <row r="36" spans="1:3" x14ac:dyDescent="0.3">
      <c r="A36">
        <v>35</v>
      </c>
      <c r="B36">
        <v>-15.754833076789717</v>
      </c>
      <c r="C36">
        <f t="shared" si="0"/>
        <v>54.245166923210284</v>
      </c>
    </row>
    <row r="37" spans="1:3" x14ac:dyDescent="0.3">
      <c r="A37">
        <v>36</v>
      </c>
      <c r="B37">
        <v>-2.8525053353689924</v>
      </c>
      <c r="C37">
        <f t="shared" si="0"/>
        <v>69.147494664631012</v>
      </c>
    </row>
    <row r="38" spans="1:3" x14ac:dyDescent="0.3">
      <c r="A38">
        <v>37</v>
      </c>
      <c r="B38">
        <v>14.869134075199165</v>
      </c>
      <c r="C38">
        <f t="shared" si="0"/>
        <v>88.86913407519917</v>
      </c>
    </row>
    <row r="39" spans="1:3" x14ac:dyDescent="0.3">
      <c r="A39">
        <v>38</v>
      </c>
      <c r="B39">
        <v>-7.0401941557064704</v>
      </c>
      <c r="C39">
        <f t="shared" si="0"/>
        <v>68.959805844293527</v>
      </c>
    </row>
    <row r="40" spans="1:3" x14ac:dyDescent="0.3">
      <c r="A40">
        <v>39</v>
      </c>
      <c r="B40">
        <v>-8.735782050124131</v>
      </c>
      <c r="C40">
        <f t="shared" si="0"/>
        <v>69.264217949875871</v>
      </c>
    </row>
    <row r="41" spans="1:3" x14ac:dyDescent="0.3">
      <c r="A41">
        <v>40</v>
      </c>
      <c r="B41">
        <v>-0.92799535847712822</v>
      </c>
      <c r="C41">
        <f t="shared" si="0"/>
        <v>79.072004641522867</v>
      </c>
    </row>
    <row r="42" spans="1:3" x14ac:dyDescent="0.3">
      <c r="A42">
        <v>41</v>
      </c>
      <c r="B42">
        <v>0.44426548898212131</v>
      </c>
      <c r="C42">
        <f t="shared" si="0"/>
        <v>82.444265488982126</v>
      </c>
    </row>
    <row r="43" spans="1:3" x14ac:dyDescent="0.3">
      <c r="A43">
        <v>42</v>
      </c>
      <c r="B43">
        <v>-6.0215811931179655</v>
      </c>
      <c r="C43">
        <f t="shared" si="0"/>
        <v>77.978418806882033</v>
      </c>
    </row>
    <row r="44" spans="1:3" x14ac:dyDescent="0.3">
      <c r="A44">
        <v>43</v>
      </c>
      <c r="B44">
        <v>13.709534669269006</v>
      </c>
      <c r="C44">
        <f t="shared" si="0"/>
        <v>99.709534669269004</v>
      </c>
    </row>
    <row r="45" spans="1:3" x14ac:dyDescent="0.3">
      <c r="A45">
        <v>44</v>
      </c>
      <c r="B45">
        <v>-8.1414778141249862</v>
      </c>
      <c r="C45">
        <f t="shared" si="0"/>
        <v>79.858522185875017</v>
      </c>
    </row>
    <row r="46" spans="1:3" x14ac:dyDescent="0.3">
      <c r="A46">
        <v>45</v>
      </c>
      <c r="B46">
        <v>15.351391295491569</v>
      </c>
      <c r="C46">
        <f t="shared" si="0"/>
        <v>105.35139129549157</v>
      </c>
    </row>
    <row r="47" spans="1:3" x14ac:dyDescent="0.3">
      <c r="A47">
        <v>46</v>
      </c>
      <c r="B47">
        <v>-6.2085760124902434</v>
      </c>
      <c r="C47">
        <f t="shared" si="0"/>
        <v>85.791423987509759</v>
      </c>
    </row>
    <row r="48" spans="1:3" x14ac:dyDescent="0.3">
      <c r="A48">
        <v>47</v>
      </c>
      <c r="B48">
        <v>-0.29462389774447278</v>
      </c>
      <c r="C48">
        <f t="shared" si="0"/>
        <v>93.705376102255528</v>
      </c>
    </row>
    <row r="49" spans="1:3" x14ac:dyDescent="0.3">
      <c r="A49">
        <v>48</v>
      </c>
      <c r="B49">
        <v>-22.734271759968056</v>
      </c>
      <c r="C49">
        <f t="shared" si="0"/>
        <v>73.265728240031947</v>
      </c>
    </row>
    <row r="50" spans="1:3" x14ac:dyDescent="0.3">
      <c r="A50">
        <v>49</v>
      </c>
      <c r="B50">
        <v>-11.362259229126673</v>
      </c>
      <c r="C50">
        <f t="shared" si="0"/>
        <v>86.637740770873322</v>
      </c>
    </row>
    <row r="51" spans="1:3" x14ac:dyDescent="0.3">
      <c r="A51">
        <v>50</v>
      </c>
      <c r="B51">
        <v>-13.873304090134519</v>
      </c>
      <c r="C51">
        <f t="shared" si="0"/>
        <v>86.126695909865475</v>
      </c>
    </row>
    <row r="52" spans="1:3" x14ac:dyDescent="0.3">
      <c r="A52">
        <v>51</v>
      </c>
      <c r="B52">
        <v>16.268659893727715</v>
      </c>
      <c r="C52">
        <f t="shared" si="0"/>
        <v>118.26865989372772</v>
      </c>
    </row>
    <row r="53" spans="1:3" x14ac:dyDescent="0.3">
      <c r="A53">
        <v>52</v>
      </c>
      <c r="B53">
        <v>-8.1971755067829406</v>
      </c>
      <c r="C53">
        <f t="shared" si="0"/>
        <v>95.802824493217059</v>
      </c>
    </row>
    <row r="54" spans="1:3" x14ac:dyDescent="0.3">
      <c r="A54">
        <v>53</v>
      </c>
      <c r="B54">
        <v>-12.294766476726222</v>
      </c>
      <c r="C54">
        <f t="shared" si="0"/>
        <v>93.705233523273776</v>
      </c>
    </row>
    <row r="55" spans="1:3" x14ac:dyDescent="0.3">
      <c r="A55">
        <v>54</v>
      </c>
      <c r="B55">
        <v>3.6283004261284404</v>
      </c>
      <c r="C55">
        <f t="shared" si="0"/>
        <v>111.62830042612845</v>
      </c>
    </row>
    <row r="56" spans="1:3" x14ac:dyDescent="0.3">
      <c r="A56">
        <v>55</v>
      </c>
      <c r="B56">
        <v>-13.064452935661194</v>
      </c>
      <c r="C56">
        <f t="shared" si="0"/>
        <v>96.935547064338806</v>
      </c>
    </row>
    <row r="57" spans="1:3" x14ac:dyDescent="0.3">
      <c r="A57">
        <v>56</v>
      </c>
      <c r="B57">
        <v>2.2760669901535997</v>
      </c>
      <c r="C57">
        <f t="shared" si="0"/>
        <v>114.27606699015359</v>
      </c>
    </row>
    <row r="58" spans="1:3" x14ac:dyDescent="0.3">
      <c r="A58">
        <v>57</v>
      </c>
      <c r="B58">
        <v>4.1821635317442034</v>
      </c>
      <c r="C58">
        <f t="shared" si="0"/>
        <v>118.18216353174421</v>
      </c>
    </row>
    <row r="59" spans="1:3" x14ac:dyDescent="0.3">
      <c r="A59">
        <v>58</v>
      </c>
      <c r="B59">
        <v>-3.5829252359446331</v>
      </c>
      <c r="C59">
        <f t="shared" si="0"/>
        <v>112.41707476405537</v>
      </c>
    </row>
    <row r="60" spans="1:3" x14ac:dyDescent="0.3">
      <c r="A60">
        <v>59</v>
      </c>
      <c r="B60">
        <v>-10.311520344090482</v>
      </c>
      <c r="C60">
        <f t="shared" si="0"/>
        <v>107.68847965590952</v>
      </c>
    </row>
    <row r="61" spans="1:3" x14ac:dyDescent="0.3">
      <c r="A61">
        <v>60</v>
      </c>
      <c r="B61">
        <v>14.481389120636631</v>
      </c>
      <c r="C61">
        <f t="shared" si="0"/>
        <v>134.48138912063663</v>
      </c>
    </row>
    <row r="62" spans="1:3" x14ac:dyDescent="0.3">
      <c r="A62">
        <v>61</v>
      </c>
      <c r="B62">
        <v>-2.2228983067046806</v>
      </c>
      <c r="C62">
        <f t="shared" si="0"/>
        <v>119.77710169329532</v>
      </c>
    </row>
    <row r="63" spans="1:3" x14ac:dyDescent="0.3">
      <c r="A63">
        <v>62</v>
      </c>
      <c r="B63">
        <v>-15.059317597527656</v>
      </c>
      <c r="C63">
        <f t="shared" si="0"/>
        <v>108.94068240247235</v>
      </c>
    </row>
    <row r="64" spans="1:3" x14ac:dyDescent="0.3">
      <c r="A64">
        <v>63</v>
      </c>
      <c r="B64">
        <v>-5.3574578130683523</v>
      </c>
      <c r="C64">
        <f t="shared" si="0"/>
        <v>120.64254218693165</v>
      </c>
    </row>
    <row r="65" spans="1:3" x14ac:dyDescent="0.3">
      <c r="A65">
        <v>64</v>
      </c>
      <c r="B65">
        <v>15.577297616836038</v>
      </c>
      <c r="C65">
        <f t="shared" si="0"/>
        <v>143.57729761683603</v>
      </c>
    </row>
    <row r="66" spans="1:3" x14ac:dyDescent="0.3">
      <c r="A66">
        <v>65</v>
      </c>
      <c r="B66">
        <v>-5.5279609255165187</v>
      </c>
      <c r="C66">
        <f t="shared" si="0"/>
        <v>124.47203907448348</v>
      </c>
    </row>
    <row r="67" spans="1:3" x14ac:dyDescent="0.3">
      <c r="A67">
        <v>66</v>
      </c>
      <c r="B67">
        <v>13.01847157160103</v>
      </c>
      <c r="C67">
        <f t="shared" ref="C67:C71" si="1">2*A67+B67</f>
        <v>145.01847157160103</v>
      </c>
    </row>
    <row r="68" spans="1:3" x14ac:dyDescent="0.3">
      <c r="A68">
        <v>67</v>
      </c>
      <c r="B68">
        <v>5.7052540171263795</v>
      </c>
      <c r="C68">
        <f t="shared" si="1"/>
        <v>139.70525401712638</v>
      </c>
    </row>
    <row r="69" spans="1:3" x14ac:dyDescent="0.3">
      <c r="A69">
        <v>68</v>
      </c>
      <c r="B69">
        <v>-2.0991241301799097</v>
      </c>
      <c r="C69">
        <f t="shared" si="1"/>
        <v>133.90087586982008</v>
      </c>
    </row>
    <row r="70" spans="1:3" x14ac:dyDescent="0.3">
      <c r="A70">
        <v>69</v>
      </c>
      <c r="B70">
        <v>28.150014601085754</v>
      </c>
      <c r="C70">
        <f t="shared" si="1"/>
        <v>166.15001460108576</v>
      </c>
    </row>
    <row r="71" spans="1:3" x14ac:dyDescent="0.3">
      <c r="A71">
        <v>70</v>
      </c>
      <c r="B71">
        <v>1.387329925249948</v>
      </c>
      <c r="C71">
        <f t="shared" si="1"/>
        <v>141.38732992524996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71CE-ECF7-49D7-9144-C7AB27BD0504}">
  <sheetPr codeName="Sheet2"/>
  <dimension ref="A1:R71"/>
  <sheetViews>
    <sheetView workbookViewId="0">
      <selection activeCell="L7" sqref="L7"/>
    </sheetView>
  </sheetViews>
  <sheetFormatPr defaultRowHeight="14.4" x14ac:dyDescent="0.3"/>
  <cols>
    <col min="1" max="1" width="42" style="8" customWidth="1"/>
    <col min="2" max="2" width="11" bestFit="1" customWidth="1"/>
    <col min="4" max="4" width="12.5546875" hidden="1" customWidth="1"/>
    <col min="5" max="6" width="0" hidden="1" customWidth="1"/>
    <col min="10" max="13" width="8.88671875" customWidth="1"/>
    <col min="14" max="14" width="13.44140625" bestFit="1" customWidth="1"/>
    <col min="15" max="15" width="8.88671875" customWidth="1"/>
    <col min="18" max="18" width="8.88671875" customWidth="1"/>
  </cols>
  <sheetData>
    <row r="1" spans="1:18" x14ac:dyDescent="0.3">
      <c r="A1" s="17" t="s">
        <v>3</v>
      </c>
      <c r="B1" s="18">
        <f>AVERAGE(DataGen[X])</f>
        <v>35.5</v>
      </c>
      <c r="H1" t="s">
        <v>0</v>
      </c>
      <c r="I1" t="s">
        <v>2</v>
      </c>
      <c r="J1" t="s">
        <v>7</v>
      </c>
      <c r="K1" t="s">
        <v>21</v>
      </c>
      <c r="L1" t="s">
        <v>8</v>
      </c>
      <c r="M1" t="s">
        <v>32</v>
      </c>
      <c r="N1" t="s">
        <v>9</v>
      </c>
      <c r="O1" t="s">
        <v>10</v>
      </c>
      <c r="P1" t="s">
        <v>11</v>
      </c>
      <c r="Q1" t="s">
        <v>12</v>
      </c>
      <c r="R1" t="s">
        <v>14</v>
      </c>
    </row>
    <row r="2" spans="1:18" ht="15" thickBot="1" x14ac:dyDescent="0.35">
      <c r="A2" s="16" t="s">
        <v>4</v>
      </c>
      <c r="B2" s="13">
        <f>AVERAGE(DataGen[Y])</f>
        <v>69.531413269885121</v>
      </c>
      <c r="H2">
        <f>'Data Generator'!A2</f>
        <v>1</v>
      </c>
      <c r="I2">
        <f>'Data Generator'!C2</f>
        <v>4.5378868547085904</v>
      </c>
      <c r="J2">
        <f t="shared" ref="J2:J33" si="0">H2 - $B$1</f>
        <v>-34.5</v>
      </c>
      <c r="K2">
        <f t="shared" ref="K2:K33" si="1">J2^2</f>
        <v>1190.25</v>
      </c>
      <c r="L2">
        <f t="shared" ref="L2:L33" si="2">I2-$B$2</f>
        <v>-64.993526415176532</v>
      </c>
      <c r="M2">
        <f t="shared" ref="M2:M33" si="3">L2^2</f>
        <v>4224.1584758802501</v>
      </c>
      <c r="N2">
        <f t="shared" ref="N2:N33" si="4">J2*L2</f>
        <v>2242.2766613235904</v>
      </c>
      <c r="O2">
        <f t="shared" ref="O2:O33" si="5">J2^2</f>
        <v>1190.25</v>
      </c>
      <c r="P2" s="3">
        <f t="shared" ref="P2:P33" si="6">H2*$B$5 + $B$4</f>
        <v>-1.3936639201680796</v>
      </c>
      <c r="Q2" s="3">
        <f t="shared" ref="Q2:Q33" si="7">I2-P2</f>
        <v>5.93155077487667</v>
      </c>
      <c r="R2" s="3">
        <f t="shared" ref="R2:R33" si="8">Q2^2</f>
        <v>35.183294594940023</v>
      </c>
    </row>
    <row r="3" spans="1:18" ht="15" thickBot="1" x14ac:dyDescent="0.35">
      <c r="H3">
        <f>'Data Generator'!A3</f>
        <v>2</v>
      </c>
      <c r="I3">
        <f>'Data Generator'!C3</f>
        <v>-2.5761543268578002</v>
      </c>
      <c r="J3">
        <f t="shared" si="0"/>
        <v>-33.5</v>
      </c>
      <c r="K3">
        <f t="shared" si="1"/>
        <v>1122.25</v>
      </c>
      <c r="L3">
        <f t="shared" si="2"/>
        <v>-72.107567596742925</v>
      </c>
      <c r="M3">
        <f t="shared" si="3"/>
        <v>5199.5013047188504</v>
      </c>
      <c r="N3">
        <f t="shared" si="4"/>
        <v>2415.6035144908878</v>
      </c>
      <c r="O3">
        <f t="shared" si="5"/>
        <v>1122.25</v>
      </c>
      <c r="P3" s="3">
        <f t="shared" si="6"/>
        <v>0.66213541867404224</v>
      </c>
      <c r="Q3" s="3">
        <f t="shared" si="7"/>
        <v>-3.2382897455318425</v>
      </c>
      <c r="R3" s="3">
        <f t="shared" si="8"/>
        <v>10.486520476016684</v>
      </c>
    </row>
    <row r="4" spans="1:18" s="9" customFormat="1" x14ac:dyDescent="0.3">
      <c r="A4" s="14" t="s">
        <v>5</v>
      </c>
      <c r="B4" s="11">
        <f>B2-B5*B1</f>
        <v>-3.4494632590102015</v>
      </c>
      <c r="H4" s="9">
        <f>'Data Generator'!A4</f>
        <v>3</v>
      </c>
      <c r="I4" s="9">
        <f>'Data Generator'!C4</f>
        <v>14.919098706773482</v>
      </c>
      <c r="J4" s="9">
        <f t="shared" si="0"/>
        <v>-32.5</v>
      </c>
      <c r="K4" s="9">
        <f t="shared" si="1"/>
        <v>1056.25</v>
      </c>
      <c r="L4" s="9">
        <f t="shared" si="2"/>
        <v>-54.612314563111639</v>
      </c>
      <c r="M4" s="9">
        <f t="shared" si="3"/>
        <v>2982.5049019402554</v>
      </c>
      <c r="N4" s="9">
        <f t="shared" si="4"/>
        <v>1774.9002233011283</v>
      </c>
      <c r="O4" s="9">
        <f t="shared" si="5"/>
        <v>1056.25</v>
      </c>
      <c r="P4" s="10">
        <f t="shared" si="6"/>
        <v>2.7179347575161641</v>
      </c>
      <c r="Q4" s="10">
        <f t="shared" si="7"/>
        <v>12.201163949257317</v>
      </c>
      <c r="R4" s="10">
        <f t="shared" si="8"/>
        <v>148.86840171665642</v>
      </c>
    </row>
    <row r="5" spans="1:18" x14ac:dyDescent="0.3">
      <c r="A5" s="15" t="s">
        <v>6</v>
      </c>
      <c r="B5" s="12">
        <f>(SUM(N2:N71)/(SUM(O2:O71)))</f>
        <v>2.0557993388421218</v>
      </c>
      <c r="H5">
        <f>'Data Generator'!A5</f>
        <v>4</v>
      </c>
      <c r="I5">
        <f>'Data Generator'!C5</f>
        <v>7.7202583169002192</v>
      </c>
      <c r="J5">
        <f t="shared" si="0"/>
        <v>-31.5</v>
      </c>
      <c r="K5">
        <f t="shared" si="1"/>
        <v>992.25</v>
      </c>
      <c r="L5">
        <f t="shared" si="2"/>
        <v>-61.8111549529849</v>
      </c>
      <c r="M5">
        <f t="shared" si="3"/>
        <v>3820.6188766219097</v>
      </c>
      <c r="N5">
        <f t="shared" si="4"/>
        <v>1947.0513810190243</v>
      </c>
      <c r="O5">
        <f t="shared" si="5"/>
        <v>992.25</v>
      </c>
      <c r="P5" s="3">
        <f t="shared" si="6"/>
        <v>4.7737340963582859</v>
      </c>
      <c r="Q5" s="3">
        <f t="shared" si="7"/>
        <v>2.9465242205419333</v>
      </c>
      <c r="R5" s="3">
        <f t="shared" si="8"/>
        <v>8.6820049822402474</v>
      </c>
    </row>
    <row r="6" spans="1:18" x14ac:dyDescent="0.3">
      <c r="A6" s="15" t="s">
        <v>20</v>
      </c>
      <c r="B6" s="12">
        <f>B9^2</f>
        <v>101.80634654278123</v>
      </c>
      <c r="H6">
        <f>'Data Generator'!A6</f>
        <v>5</v>
      </c>
      <c r="I6">
        <f>'Data Generator'!C6</f>
        <v>16.248937349348989</v>
      </c>
      <c r="J6">
        <f t="shared" si="0"/>
        <v>-30.5</v>
      </c>
      <c r="K6">
        <f t="shared" si="1"/>
        <v>930.25</v>
      </c>
      <c r="L6">
        <f t="shared" si="2"/>
        <v>-53.282475920536129</v>
      </c>
      <c r="M6">
        <f t="shared" si="3"/>
        <v>2839.0222402225122</v>
      </c>
      <c r="N6">
        <f t="shared" si="4"/>
        <v>1625.115515576352</v>
      </c>
      <c r="O6">
        <f t="shared" si="5"/>
        <v>930.25</v>
      </c>
      <c r="P6" s="3">
        <f t="shared" si="6"/>
        <v>6.8295334352004069</v>
      </c>
      <c r="Q6" s="3">
        <f t="shared" si="7"/>
        <v>9.4194039141485817</v>
      </c>
      <c r="R6" s="3">
        <f t="shared" si="8"/>
        <v>88.725170097877623</v>
      </c>
    </row>
    <row r="7" spans="1:18" x14ac:dyDescent="0.3">
      <c r="A7" s="15" t="s">
        <v>13</v>
      </c>
      <c r="B7" s="12">
        <f>SUM(Process[Pred Error Sq])</f>
        <v>7266.4442579946872</v>
      </c>
      <c r="H7">
        <f>'Data Generator'!A7</f>
        <v>6</v>
      </c>
      <c r="I7">
        <f>'Data Generator'!C7</f>
        <v>13.808978923028247</v>
      </c>
      <c r="J7">
        <f t="shared" si="0"/>
        <v>-29.5</v>
      </c>
      <c r="K7">
        <f t="shared" si="1"/>
        <v>870.25</v>
      </c>
      <c r="L7">
        <f t="shared" si="2"/>
        <v>-55.722434346856872</v>
      </c>
      <c r="M7">
        <f t="shared" si="3"/>
        <v>3104.9896895397746</v>
      </c>
      <c r="N7">
        <f t="shared" si="4"/>
        <v>1643.8118132322777</v>
      </c>
      <c r="O7">
        <f t="shared" si="5"/>
        <v>870.25</v>
      </c>
      <c r="P7" s="3">
        <f t="shared" si="6"/>
        <v>8.8853327740425296</v>
      </c>
      <c r="Q7" s="3">
        <f t="shared" si="7"/>
        <v>4.9236461489857177</v>
      </c>
      <c r="R7" s="3">
        <f t="shared" si="8"/>
        <v>24.242291400421887</v>
      </c>
    </row>
    <row r="8" spans="1:18" ht="15" thickBot="1" x14ac:dyDescent="0.35">
      <c r="A8" s="15" t="s">
        <v>17</v>
      </c>
      <c r="B8" s="12">
        <f>SUM(Process[Pred Error Sq])/70</f>
        <v>103.80634654278124</v>
      </c>
      <c r="H8">
        <f>'Data Generator'!A8</f>
        <v>7</v>
      </c>
      <c r="I8">
        <f>'Data Generator'!C8</f>
        <v>-0.9306699412696755</v>
      </c>
      <c r="J8">
        <f t="shared" si="0"/>
        <v>-28.5</v>
      </c>
      <c r="K8">
        <f t="shared" si="1"/>
        <v>812.25</v>
      </c>
      <c r="L8">
        <f t="shared" si="2"/>
        <v>-70.462083211154791</v>
      </c>
      <c r="M8">
        <f t="shared" si="3"/>
        <v>4964.9051704557023</v>
      </c>
      <c r="N8">
        <f t="shared" si="4"/>
        <v>2008.1693715179115</v>
      </c>
      <c r="O8">
        <f t="shared" si="5"/>
        <v>812.25</v>
      </c>
      <c r="P8" s="3">
        <f t="shared" si="6"/>
        <v>10.941132112884652</v>
      </c>
      <c r="Q8" s="3">
        <f t="shared" si="7"/>
        <v>-11.871802054154328</v>
      </c>
      <c r="R8" s="3">
        <f t="shared" si="8"/>
        <v>140.93968401302291</v>
      </c>
    </row>
    <row r="9" spans="1:18" ht="15.6" thickTop="1" thickBot="1" x14ac:dyDescent="0.35">
      <c r="A9" s="15" t="s">
        <v>19</v>
      </c>
      <c r="B9" s="32">
        <f>SQRT(B7/70-2)</f>
        <v>10.089913108782515</v>
      </c>
      <c r="H9">
        <f>'Data Generator'!A9</f>
        <v>8</v>
      </c>
      <c r="I9">
        <f>'Data Generator'!C9</f>
        <v>12.288043036670491</v>
      </c>
      <c r="J9">
        <f t="shared" si="0"/>
        <v>-27.5</v>
      </c>
      <c r="K9">
        <f t="shared" si="1"/>
        <v>756.25</v>
      </c>
      <c r="L9">
        <f t="shared" si="2"/>
        <v>-57.243370233214634</v>
      </c>
      <c r="M9">
        <f t="shared" si="3"/>
        <v>3276.8034356568833</v>
      </c>
      <c r="N9">
        <f t="shared" si="4"/>
        <v>1574.1926814134024</v>
      </c>
      <c r="O9">
        <f t="shared" si="5"/>
        <v>756.25</v>
      </c>
      <c r="P9" s="3">
        <f t="shared" si="6"/>
        <v>12.996931451726773</v>
      </c>
      <c r="Q9" s="3">
        <f t="shared" si="7"/>
        <v>-0.70888841505628264</v>
      </c>
      <c r="R9" s="3">
        <f t="shared" si="8"/>
        <v>0.50252278500100844</v>
      </c>
    </row>
    <row r="10" spans="1:18" ht="15" thickTop="1" x14ac:dyDescent="0.3">
      <c r="A10" s="15" t="s">
        <v>18</v>
      </c>
      <c r="B10" s="12">
        <f>SQRT(B6*((1/70)+(B1^2/SUM(Process[Dev X Sq]))))</f>
        <v>2.4380264617029126</v>
      </c>
      <c r="H10">
        <f>'Data Generator'!A10</f>
        <v>9</v>
      </c>
      <c r="I10">
        <f>'Data Generator'!C10</f>
        <v>11.284789025556197</v>
      </c>
      <c r="J10">
        <f t="shared" si="0"/>
        <v>-26.5</v>
      </c>
      <c r="K10">
        <f t="shared" si="1"/>
        <v>702.25</v>
      </c>
      <c r="L10">
        <f t="shared" si="2"/>
        <v>-58.246624244328927</v>
      </c>
      <c r="M10">
        <f t="shared" si="3"/>
        <v>3392.6692358600462</v>
      </c>
      <c r="N10">
        <f t="shared" si="4"/>
        <v>1543.5355424747165</v>
      </c>
      <c r="O10">
        <f t="shared" si="5"/>
        <v>702.25</v>
      </c>
      <c r="P10" s="3">
        <f t="shared" si="6"/>
        <v>15.052730790568894</v>
      </c>
      <c r="Q10" s="3">
        <f t="shared" si="7"/>
        <v>-3.7679417650126972</v>
      </c>
      <c r="R10" s="3">
        <f t="shared" si="8"/>
        <v>14.197385144526999</v>
      </c>
    </row>
    <row r="11" spans="1:18" ht="15" thickBot="1" x14ac:dyDescent="0.35">
      <c r="A11" s="16" t="s">
        <v>22</v>
      </c>
      <c r="B11" s="13">
        <f>SQRT(B6/SUM(Process[Dev X Sq]))</f>
        <v>5.9686389614069434E-2</v>
      </c>
      <c r="H11">
        <f>'Data Generator'!A11</f>
        <v>10</v>
      </c>
      <c r="I11">
        <f>'Data Generator'!C11</f>
        <v>26.866801438227068</v>
      </c>
      <c r="J11">
        <f t="shared" si="0"/>
        <v>-25.5</v>
      </c>
      <c r="K11">
        <f t="shared" si="1"/>
        <v>650.25</v>
      </c>
      <c r="L11">
        <f t="shared" si="2"/>
        <v>-42.66461183165805</v>
      </c>
      <c r="M11">
        <f t="shared" si="3"/>
        <v>1820.269102746056</v>
      </c>
      <c r="N11">
        <f t="shared" si="4"/>
        <v>1087.9476017072802</v>
      </c>
      <c r="O11">
        <f t="shared" si="5"/>
        <v>650.25</v>
      </c>
      <c r="P11" s="3">
        <f t="shared" si="6"/>
        <v>17.108530129411015</v>
      </c>
      <c r="Q11" s="3">
        <f t="shared" si="7"/>
        <v>9.7582713088160524</v>
      </c>
      <c r="R11" s="3">
        <f t="shared" si="8"/>
        <v>95.223858936462548</v>
      </c>
    </row>
    <row r="12" spans="1:18" ht="15" thickBot="1" x14ac:dyDescent="0.35">
      <c r="H12">
        <f>'Data Generator'!A12</f>
        <v>11</v>
      </c>
      <c r="I12">
        <f>'Data Generator'!C12</f>
        <v>20.501318036343378</v>
      </c>
      <c r="J12">
        <f t="shared" si="0"/>
        <v>-24.5</v>
      </c>
      <c r="K12">
        <f t="shared" si="1"/>
        <v>600.25</v>
      </c>
      <c r="L12">
        <f t="shared" si="2"/>
        <v>-49.030095233541743</v>
      </c>
      <c r="M12">
        <f t="shared" si="3"/>
        <v>2403.9502386101726</v>
      </c>
      <c r="N12">
        <f t="shared" si="4"/>
        <v>1201.2373332217728</v>
      </c>
      <c r="O12">
        <f t="shared" si="5"/>
        <v>600.25</v>
      </c>
      <c r="P12" s="3">
        <f t="shared" si="6"/>
        <v>19.16432946825314</v>
      </c>
      <c r="Q12" s="3">
        <f t="shared" si="7"/>
        <v>1.3369885680902378</v>
      </c>
      <c r="R12" s="3">
        <f t="shared" si="8"/>
        <v>1.7875384312039844</v>
      </c>
    </row>
    <row r="13" spans="1:18" ht="15" thickBot="1" x14ac:dyDescent="0.35">
      <c r="A13" s="23"/>
      <c r="B13" s="27" t="s">
        <v>25</v>
      </c>
      <c r="C13" s="24" t="s">
        <v>24</v>
      </c>
      <c r="H13">
        <f>'Data Generator'!A13</f>
        <v>12</v>
      </c>
      <c r="I13">
        <f>'Data Generator'!C13</f>
        <v>34.530293608358349</v>
      </c>
      <c r="J13">
        <f t="shared" si="0"/>
        <v>-23.5</v>
      </c>
      <c r="K13">
        <f t="shared" si="1"/>
        <v>552.25</v>
      </c>
      <c r="L13">
        <f t="shared" si="2"/>
        <v>-35.001119661526772</v>
      </c>
      <c r="M13">
        <f t="shared" si="3"/>
        <v>1225.0783775605159</v>
      </c>
      <c r="N13">
        <f t="shared" si="4"/>
        <v>822.52631204587919</v>
      </c>
      <c r="O13">
        <f t="shared" si="5"/>
        <v>552.25</v>
      </c>
      <c r="P13" s="3">
        <f t="shared" si="6"/>
        <v>21.220128807095261</v>
      </c>
      <c r="Q13" s="3">
        <f t="shared" si="7"/>
        <v>13.310164801263088</v>
      </c>
      <c r="R13" s="3">
        <f t="shared" si="8"/>
        <v>177.16048703678285</v>
      </c>
    </row>
    <row r="14" spans="1:18" s="9" customFormat="1" x14ac:dyDescent="0.3">
      <c r="A14" s="21" t="s">
        <v>23</v>
      </c>
      <c r="B14" s="28">
        <f>B5-2*B11</f>
        <v>1.9364265596139829</v>
      </c>
      <c r="C14" s="19">
        <f>B5+2*B11</f>
        <v>2.1751721180702606</v>
      </c>
      <c r="H14" s="9">
        <f>'Data Generator'!A14</f>
        <v>13</v>
      </c>
      <c r="I14" s="9">
        <f>'Data Generator'!C14</f>
        <v>21.625529885020512</v>
      </c>
      <c r="J14" s="9">
        <f t="shared" si="0"/>
        <v>-22.5</v>
      </c>
      <c r="K14" s="9">
        <f t="shared" si="1"/>
        <v>506.25</v>
      </c>
      <c r="L14" s="9">
        <f t="shared" si="2"/>
        <v>-47.905883384864609</v>
      </c>
      <c r="M14" s="9">
        <f t="shared" si="3"/>
        <v>2294.973662884247</v>
      </c>
      <c r="N14" s="9">
        <f t="shared" si="4"/>
        <v>1077.8823761594538</v>
      </c>
      <c r="O14" s="9">
        <f t="shared" si="5"/>
        <v>506.25</v>
      </c>
      <c r="P14" s="10">
        <f t="shared" si="6"/>
        <v>23.275928145937382</v>
      </c>
      <c r="Q14" s="10">
        <f t="shared" si="7"/>
        <v>-1.6503982609168695</v>
      </c>
      <c r="R14" s="10">
        <f t="shared" si="8"/>
        <v>2.723814419637427</v>
      </c>
    </row>
    <row r="15" spans="1:18" s="9" customFormat="1" ht="15" thickBot="1" x14ac:dyDescent="0.35">
      <c r="A15" s="22" t="s">
        <v>26</v>
      </c>
      <c r="B15" s="29">
        <f>B4-2*B10</f>
        <v>-8.3255161824160275</v>
      </c>
      <c r="C15" s="20">
        <f>B4+2*B10</f>
        <v>1.4265896643956237</v>
      </c>
      <c r="H15" s="9">
        <f>'Data Generator'!A15</f>
        <v>14</v>
      </c>
      <c r="I15" s="9">
        <f>'Data Generator'!C15</f>
        <v>19.468157749037125</v>
      </c>
      <c r="J15" s="9">
        <f t="shared" si="0"/>
        <v>-21.5</v>
      </c>
      <c r="K15" s="9">
        <f t="shared" si="1"/>
        <v>462.25</v>
      </c>
      <c r="L15" s="9">
        <f t="shared" si="2"/>
        <v>-50.063255520847996</v>
      </c>
      <c r="M15" s="9">
        <f t="shared" si="3"/>
        <v>2506.3295533457172</v>
      </c>
      <c r="N15" s="9">
        <f t="shared" si="4"/>
        <v>1076.3599936982318</v>
      </c>
      <c r="O15" s="9">
        <f t="shared" si="5"/>
        <v>462.25</v>
      </c>
      <c r="P15" s="10">
        <f t="shared" si="6"/>
        <v>25.331727484779506</v>
      </c>
      <c r="Q15" s="10">
        <f t="shared" si="7"/>
        <v>-5.8635697357423808</v>
      </c>
      <c r="R15" s="10">
        <f t="shared" si="8"/>
        <v>34.381450045913972</v>
      </c>
    </row>
    <row r="16" spans="1:18" ht="15" thickBot="1" x14ac:dyDescent="0.35">
      <c r="H16">
        <f>'Data Generator'!A16</f>
        <v>15</v>
      </c>
      <c r="I16">
        <f>'Data Generator'!C16</f>
        <v>21.505472789745447</v>
      </c>
      <c r="J16">
        <f t="shared" si="0"/>
        <v>-20.5</v>
      </c>
      <c r="K16">
        <f t="shared" si="1"/>
        <v>420.25</v>
      </c>
      <c r="L16">
        <f t="shared" si="2"/>
        <v>-48.025940480139674</v>
      </c>
      <c r="M16">
        <f t="shared" si="3"/>
        <v>2306.4909590019188</v>
      </c>
      <c r="N16">
        <f t="shared" si="4"/>
        <v>984.53177984286333</v>
      </c>
      <c r="O16">
        <f t="shared" si="5"/>
        <v>420.25</v>
      </c>
      <c r="P16" s="3">
        <f t="shared" si="6"/>
        <v>27.387526823621627</v>
      </c>
      <c r="Q16" s="3">
        <f t="shared" si="7"/>
        <v>-5.8820540338761802</v>
      </c>
      <c r="R16" s="3">
        <f t="shared" si="8"/>
        <v>34.598559657439047</v>
      </c>
    </row>
    <row r="17" spans="1:18" ht="15" thickBot="1" x14ac:dyDescent="0.35">
      <c r="A17" s="26" t="s">
        <v>30</v>
      </c>
      <c r="B17" s="25">
        <f>AVERAGE(RSSNoise[Mean Y])</f>
        <v>71.104538368600856</v>
      </c>
      <c r="H17">
        <f>'Data Generator'!A17</f>
        <v>16</v>
      </c>
      <c r="I17">
        <f>'Data Generator'!C17</f>
        <v>26.877437697228231</v>
      </c>
      <c r="J17">
        <f t="shared" si="0"/>
        <v>-19.5</v>
      </c>
      <c r="K17">
        <f t="shared" si="1"/>
        <v>380.25</v>
      </c>
      <c r="L17">
        <f t="shared" si="2"/>
        <v>-42.65397557265689</v>
      </c>
      <c r="M17">
        <f t="shared" si="3"/>
        <v>1819.3616321528107</v>
      </c>
      <c r="N17">
        <f t="shared" si="4"/>
        <v>831.75252366680934</v>
      </c>
      <c r="O17">
        <f t="shared" si="5"/>
        <v>380.25</v>
      </c>
      <c r="P17" s="3">
        <f t="shared" si="6"/>
        <v>29.443326162463748</v>
      </c>
      <c r="Q17" s="3">
        <f t="shared" si="7"/>
        <v>-2.5658884652355169</v>
      </c>
      <c r="R17" s="3">
        <f t="shared" si="8"/>
        <v>6.5837836160286765</v>
      </c>
    </row>
    <row r="18" spans="1:18" ht="15" thickBot="1" x14ac:dyDescent="0.35">
      <c r="H18">
        <f>'Data Generator'!A18</f>
        <v>17</v>
      </c>
      <c r="I18">
        <f>'Data Generator'!C18</f>
        <v>45.814131420775226</v>
      </c>
      <c r="J18">
        <f t="shared" si="0"/>
        <v>-18.5</v>
      </c>
      <c r="K18">
        <f t="shared" si="1"/>
        <v>342.25</v>
      </c>
      <c r="L18">
        <f t="shared" si="2"/>
        <v>-23.717281849109895</v>
      </c>
      <c r="M18">
        <f t="shared" si="3"/>
        <v>562.50945831011768</v>
      </c>
      <c r="N18">
        <f t="shared" si="4"/>
        <v>438.76971420853306</v>
      </c>
      <c r="O18">
        <f t="shared" si="5"/>
        <v>342.25</v>
      </c>
      <c r="P18" s="3">
        <f t="shared" si="6"/>
        <v>31.499125501305869</v>
      </c>
      <c r="Q18" s="3">
        <f t="shared" si="7"/>
        <v>14.315005919469357</v>
      </c>
      <c r="R18" s="3">
        <f t="shared" si="8"/>
        <v>204.91939447444273</v>
      </c>
    </row>
    <row r="19" spans="1:18" ht="15.6" thickTop="1" thickBot="1" x14ac:dyDescent="0.35">
      <c r="A19" s="17" t="s">
        <v>31</v>
      </c>
      <c r="B19" s="32">
        <f>1 - (B7/B20)</f>
        <v>0.94325034304003508</v>
      </c>
      <c r="H19">
        <f>'Data Generator'!A19</f>
        <v>18</v>
      </c>
      <c r="I19">
        <f>'Data Generator'!C19</f>
        <v>16.788402742521427</v>
      </c>
      <c r="J19">
        <f t="shared" si="0"/>
        <v>-17.5</v>
      </c>
      <c r="K19">
        <f t="shared" si="1"/>
        <v>306.25</v>
      </c>
      <c r="L19">
        <f t="shared" si="2"/>
        <v>-52.743010527363694</v>
      </c>
      <c r="M19">
        <f t="shared" si="3"/>
        <v>2781.8251594895974</v>
      </c>
      <c r="N19">
        <f t="shared" si="4"/>
        <v>923.00268422886461</v>
      </c>
      <c r="O19">
        <f t="shared" si="5"/>
        <v>306.25</v>
      </c>
      <c r="P19" s="3">
        <f t="shared" si="6"/>
        <v>33.55492484014799</v>
      </c>
      <c r="Q19" s="3">
        <f t="shared" si="7"/>
        <v>-16.766522097626563</v>
      </c>
      <c r="R19" s="3">
        <f t="shared" si="8"/>
        <v>281.11626325019984</v>
      </c>
    </row>
    <row r="20" spans="1:18" ht="15.6" thickTop="1" thickBot="1" x14ac:dyDescent="0.35">
      <c r="A20" s="16" t="s">
        <v>38</v>
      </c>
      <c r="B20" s="13">
        <f>SUM(M2:M71)</f>
        <v>128043.84461955317</v>
      </c>
      <c r="H20">
        <f>'Data Generator'!A20</f>
        <v>19</v>
      </c>
      <c r="I20">
        <f>'Data Generator'!C20</f>
        <v>44.290631986913787</v>
      </c>
      <c r="J20">
        <f t="shared" si="0"/>
        <v>-16.5</v>
      </c>
      <c r="K20">
        <f t="shared" si="1"/>
        <v>272.25</v>
      </c>
      <c r="L20">
        <f t="shared" si="2"/>
        <v>-25.240781282971334</v>
      </c>
      <c r="M20">
        <f t="shared" si="3"/>
        <v>637.09703977479603</v>
      </c>
      <c r="N20">
        <f t="shared" si="4"/>
        <v>416.47289116902698</v>
      </c>
      <c r="O20">
        <f t="shared" si="5"/>
        <v>272.25</v>
      </c>
      <c r="P20" s="3">
        <f t="shared" si="6"/>
        <v>35.610724178990111</v>
      </c>
      <c r="Q20" s="3">
        <f t="shared" si="7"/>
        <v>8.6799078079236764</v>
      </c>
      <c r="R20" s="3">
        <f t="shared" si="8"/>
        <v>75.340799554054399</v>
      </c>
    </row>
    <row r="21" spans="1:18" ht="15" thickBot="1" x14ac:dyDescent="0.35">
      <c r="H21">
        <f>'Data Generator'!A21</f>
        <v>20</v>
      </c>
      <c r="I21">
        <f>'Data Generator'!C21</f>
        <v>21.234125008678667</v>
      </c>
      <c r="J21">
        <f t="shared" si="0"/>
        <v>-15.5</v>
      </c>
      <c r="K21">
        <f t="shared" si="1"/>
        <v>240.25</v>
      </c>
      <c r="L21">
        <f t="shared" si="2"/>
        <v>-48.297288261206454</v>
      </c>
      <c r="M21">
        <f t="shared" si="3"/>
        <v>2332.6280533860709</v>
      </c>
      <c r="N21">
        <f t="shared" si="4"/>
        <v>748.60796804870006</v>
      </c>
      <c r="O21">
        <f t="shared" si="5"/>
        <v>240.25</v>
      </c>
      <c r="P21" s="3">
        <f t="shared" si="6"/>
        <v>37.666523517832232</v>
      </c>
      <c r="Q21" s="3">
        <f t="shared" si="7"/>
        <v>-16.432398509153565</v>
      </c>
      <c r="R21" s="3">
        <f t="shared" si="8"/>
        <v>270.0237207636323</v>
      </c>
    </row>
    <row r="22" spans="1:18" ht="15" thickBot="1" x14ac:dyDescent="0.35">
      <c r="A22" s="30" t="s">
        <v>34</v>
      </c>
      <c r="B22" s="31">
        <f>B5/B11</f>
        <v>34.443352196955857</v>
      </c>
      <c r="H22">
        <f>'Data Generator'!A22</f>
        <v>21</v>
      </c>
      <c r="I22">
        <f>'Data Generator'!C22</f>
        <v>30.135193901173775</v>
      </c>
      <c r="J22">
        <f t="shared" si="0"/>
        <v>-14.5</v>
      </c>
      <c r="K22">
        <f t="shared" si="1"/>
        <v>210.25</v>
      </c>
      <c r="L22">
        <f t="shared" si="2"/>
        <v>-39.396219368711343</v>
      </c>
      <c r="M22">
        <f t="shared" si="3"/>
        <v>1552.0621005476266</v>
      </c>
      <c r="N22">
        <f t="shared" si="4"/>
        <v>571.2451808463145</v>
      </c>
      <c r="O22">
        <f t="shared" si="5"/>
        <v>210.25</v>
      </c>
      <c r="P22" s="3">
        <f t="shared" si="6"/>
        <v>39.72232285667436</v>
      </c>
      <c r="Q22" s="3">
        <f t="shared" si="7"/>
        <v>-9.5871289555005852</v>
      </c>
      <c r="R22" s="3">
        <f t="shared" si="8"/>
        <v>91.913041609397737</v>
      </c>
    </row>
    <row r="23" spans="1:18" ht="15.6" thickTop="1" thickBot="1" x14ac:dyDescent="0.35">
      <c r="A23" s="30" t="s">
        <v>35</v>
      </c>
      <c r="B23" s="32">
        <f>_xlfn.T.DIST(B22, 69, FALSE)</f>
        <v>3.1794521440023265E-45</v>
      </c>
      <c r="H23">
        <f>'Data Generator'!A23</f>
        <v>22</v>
      </c>
      <c r="I23">
        <f>'Data Generator'!C23</f>
        <v>35.513767611458533</v>
      </c>
      <c r="J23">
        <f t="shared" si="0"/>
        <v>-13.5</v>
      </c>
      <c r="K23">
        <f t="shared" si="1"/>
        <v>182.25</v>
      </c>
      <c r="L23">
        <f t="shared" si="2"/>
        <v>-34.017645658426588</v>
      </c>
      <c r="M23">
        <f t="shared" si="3"/>
        <v>1157.2002161422693</v>
      </c>
      <c r="N23">
        <f t="shared" si="4"/>
        <v>459.23821638875893</v>
      </c>
      <c r="O23">
        <f t="shared" si="5"/>
        <v>182.25</v>
      </c>
      <c r="P23" s="3">
        <f t="shared" si="6"/>
        <v>41.778122195516481</v>
      </c>
      <c r="Q23" s="3">
        <f t="shared" si="7"/>
        <v>-6.2643545840579478</v>
      </c>
      <c r="R23" s="3">
        <f t="shared" si="8"/>
        <v>39.242138354807821</v>
      </c>
    </row>
    <row r="24" spans="1:18" x14ac:dyDescent="0.3">
      <c r="H24">
        <f>'Data Generator'!A24</f>
        <v>23</v>
      </c>
      <c r="I24">
        <f>'Data Generator'!C24</f>
        <v>48.251880870926946</v>
      </c>
      <c r="J24">
        <f t="shared" si="0"/>
        <v>-12.5</v>
      </c>
      <c r="K24">
        <f t="shared" si="1"/>
        <v>156.25</v>
      </c>
      <c r="L24">
        <f t="shared" si="2"/>
        <v>-21.279532398958175</v>
      </c>
      <c r="M24">
        <f t="shared" si="3"/>
        <v>452.81849911831063</v>
      </c>
      <c r="N24">
        <f t="shared" si="4"/>
        <v>265.99415498697721</v>
      </c>
      <c r="O24">
        <f t="shared" si="5"/>
        <v>156.25</v>
      </c>
      <c r="P24" s="3">
        <f t="shared" si="6"/>
        <v>43.833921534358602</v>
      </c>
      <c r="Q24" s="3">
        <f t="shared" si="7"/>
        <v>4.4179593365683445</v>
      </c>
      <c r="R24" s="3">
        <f t="shared" si="8"/>
        <v>19.518364699571407</v>
      </c>
    </row>
    <row r="25" spans="1:18" x14ac:dyDescent="0.3">
      <c r="H25">
        <f>'Data Generator'!A25</f>
        <v>24</v>
      </c>
      <c r="I25">
        <f>'Data Generator'!C25</f>
        <v>49.258111115424015</v>
      </c>
      <c r="J25">
        <f t="shared" si="0"/>
        <v>-11.5</v>
      </c>
      <c r="K25">
        <f t="shared" si="1"/>
        <v>132.25</v>
      </c>
      <c r="L25">
        <f t="shared" si="2"/>
        <v>-20.273302154461106</v>
      </c>
      <c r="M25">
        <f t="shared" si="3"/>
        <v>411.00678024607731</v>
      </c>
      <c r="N25">
        <f t="shared" si="4"/>
        <v>233.14297477630271</v>
      </c>
      <c r="O25">
        <f t="shared" si="5"/>
        <v>132.25</v>
      </c>
      <c r="P25" s="3">
        <f t="shared" si="6"/>
        <v>45.889720873200723</v>
      </c>
      <c r="Q25" s="3">
        <f t="shared" si="7"/>
        <v>3.3683902422232919</v>
      </c>
      <c r="R25" s="3">
        <f t="shared" si="8"/>
        <v>11.346052823905087</v>
      </c>
    </row>
    <row r="26" spans="1:18" x14ac:dyDescent="0.3">
      <c r="H26">
        <f>'Data Generator'!A26</f>
        <v>25</v>
      </c>
      <c r="I26">
        <f>'Data Generator'!C26</f>
        <v>52.111767489296</v>
      </c>
      <c r="J26">
        <f t="shared" si="0"/>
        <v>-10.5</v>
      </c>
      <c r="K26">
        <f t="shared" si="1"/>
        <v>110.25</v>
      </c>
      <c r="L26">
        <f t="shared" si="2"/>
        <v>-17.419645780589121</v>
      </c>
      <c r="M26">
        <f t="shared" si="3"/>
        <v>303.4440591211964</v>
      </c>
      <c r="N26">
        <f t="shared" si="4"/>
        <v>182.90628069618577</v>
      </c>
      <c r="O26">
        <f t="shared" si="5"/>
        <v>110.25</v>
      </c>
      <c r="P26" s="3">
        <f t="shared" si="6"/>
        <v>47.945520212042844</v>
      </c>
      <c r="Q26" s="3">
        <f t="shared" si="7"/>
        <v>4.1662472772531558</v>
      </c>
      <c r="R26" s="3">
        <f t="shared" si="8"/>
        <v>17.357616375219333</v>
      </c>
    </row>
    <row r="27" spans="1:18" x14ac:dyDescent="0.3">
      <c r="H27">
        <f>'Data Generator'!A27</f>
        <v>26</v>
      </c>
      <c r="I27">
        <f>'Data Generator'!C27</f>
        <v>41.563297959443723</v>
      </c>
      <c r="J27">
        <f t="shared" si="0"/>
        <v>-9.5</v>
      </c>
      <c r="K27">
        <f t="shared" si="1"/>
        <v>90.25</v>
      </c>
      <c r="L27">
        <f t="shared" si="2"/>
        <v>-27.968115310441398</v>
      </c>
      <c r="M27">
        <f t="shared" si="3"/>
        <v>782.21547401814655</v>
      </c>
      <c r="N27">
        <f t="shared" si="4"/>
        <v>265.69709544919328</v>
      </c>
      <c r="O27">
        <f t="shared" si="5"/>
        <v>90.25</v>
      </c>
      <c r="P27" s="3">
        <f t="shared" si="6"/>
        <v>50.001319550884965</v>
      </c>
      <c r="Q27" s="3">
        <f t="shared" si="7"/>
        <v>-8.4380215914412418</v>
      </c>
      <c r="R27" s="3">
        <f t="shared" si="8"/>
        <v>71.200208377628584</v>
      </c>
    </row>
    <row r="28" spans="1:18" x14ac:dyDescent="0.3">
      <c r="H28">
        <f>'Data Generator'!A28</f>
        <v>27</v>
      </c>
      <c r="I28">
        <f>'Data Generator'!C28</f>
        <v>39.031724202332228</v>
      </c>
      <c r="J28">
        <f t="shared" si="0"/>
        <v>-8.5</v>
      </c>
      <c r="K28">
        <f t="shared" si="1"/>
        <v>72.25</v>
      </c>
      <c r="L28">
        <f t="shared" si="2"/>
        <v>-30.499689067552893</v>
      </c>
      <c r="M28">
        <f t="shared" si="3"/>
        <v>930.23103321740541</v>
      </c>
      <c r="N28">
        <f t="shared" si="4"/>
        <v>259.24735707419961</v>
      </c>
      <c r="O28">
        <f t="shared" si="5"/>
        <v>72.25</v>
      </c>
      <c r="P28" s="3">
        <f t="shared" si="6"/>
        <v>52.057118889727086</v>
      </c>
      <c r="Q28" s="3">
        <f t="shared" si="7"/>
        <v>-13.025394687394858</v>
      </c>
      <c r="R28" s="3">
        <f t="shared" si="8"/>
        <v>169.66090676241419</v>
      </c>
    </row>
    <row r="29" spans="1:18" x14ac:dyDescent="0.3">
      <c r="H29">
        <f>'Data Generator'!A29</f>
        <v>28</v>
      </c>
      <c r="I29">
        <f>'Data Generator'!C29</f>
        <v>50.171983243891354</v>
      </c>
      <c r="J29">
        <f t="shared" si="0"/>
        <v>-7.5</v>
      </c>
      <c r="K29">
        <f t="shared" si="1"/>
        <v>56.25</v>
      </c>
      <c r="L29">
        <f t="shared" si="2"/>
        <v>-19.359430025993767</v>
      </c>
      <c r="M29">
        <f t="shared" si="3"/>
        <v>374.78753093134901</v>
      </c>
      <c r="N29">
        <f t="shared" si="4"/>
        <v>145.19572519495324</v>
      </c>
      <c r="O29">
        <f t="shared" si="5"/>
        <v>56.25</v>
      </c>
      <c r="P29" s="3">
        <f t="shared" si="6"/>
        <v>54.112918228569214</v>
      </c>
      <c r="Q29" s="3">
        <f t="shared" si="7"/>
        <v>-3.9409349846778596</v>
      </c>
      <c r="R29" s="3">
        <f t="shared" si="8"/>
        <v>15.530968553457882</v>
      </c>
    </row>
    <row r="30" spans="1:18" x14ac:dyDescent="0.3">
      <c r="H30">
        <f>'Data Generator'!A30</f>
        <v>29</v>
      </c>
      <c r="I30">
        <f>'Data Generator'!C30</f>
        <v>75.313373709162789</v>
      </c>
      <c r="J30">
        <f t="shared" si="0"/>
        <v>-6.5</v>
      </c>
      <c r="K30">
        <f t="shared" si="1"/>
        <v>42.25</v>
      </c>
      <c r="L30">
        <f t="shared" si="2"/>
        <v>5.7819604392776682</v>
      </c>
      <c r="M30">
        <f t="shared" si="3"/>
        <v>33.431066521372003</v>
      </c>
      <c r="N30">
        <f t="shared" si="4"/>
        <v>-37.582742855304843</v>
      </c>
      <c r="O30">
        <f t="shared" si="5"/>
        <v>42.25</v>
      </c>
      <c r="P30" s="3">
        <f t="shared" si="6"/>
        <v>56.168717567411335</v>
      </c>
      <c r="Q30" s="3">
        <f t="shared" si="7"/>
        <v>19.144656141751454</v>
      </c>
      <c r="R30" s="3">
        <f t="shared" si="8"/>
        <v>366.51785878590169</v>
      </c>
    </row>
    <row r="31" spans="1:18" x14ac:dyDescent="0.3">
      <c r="H31">
        <f>'Data Generator'!A31</f>
        <v>30</v>
      </c>
      <c r="I31">
        <f>'Data Generator'!C31</f>
        <v>60.266506197264874</v>
      </c>
      <c r="J31">
        <f t="shared" si="0"/>
        <v>-5.5</v>
      </c>
      <c r="K31">
        <f t="shared" si="1"/>
        <v>30.25</v>
      </c>
      <c r="L31">
        <f t="shared" si="2"/>
        <v>-9.2649070726202467</v>
      </c>
      <c r="M31">
        <f t="shared" si="3"/>
        <v>85.838503064288673</v>
      </c>
      <c r="N31">
        <f t="shared" si="4"/>
        <v>50.956988899411357</v>
      </c>
      <c r="O31">
        <f t="shared" si="5"/>
        <v>30.25</v>
      </c>
      <c r="P31" s="3">
        <f t="shared" si="6"/>
        <v>58.224516906253456</v>
      </c>
      <c r="Q31" s="3">
        <f t="shared" si="7"/>
        <v>2.0419892910114186</v>
      </c>
      <c r="R31" s="3">
        <f t="shared" si="8"/>
        <v>4.1697202646053162</v>
      </c>
    </row>
    <row r="32" spans="1:18" x14ac:dyDescent="0.3">
      <c r="H32">
        <f>'Data Generator'!A32</f>
        <v>31</v>
      </c>
      <c r="I32">
        <f>'Data Generator'!C32</f>
        <v>74.906818897047373</v>
      </c>
      <c r="J32">
        <f t="shared" si="0"/>
        <v>-4.5</v>
      </c>
      <c r="K32">
        <f t="shared" si="1"/>
        <v>20.25</v>
      </c>
      <c r="L32">
        <f t="shared" si="2"/>
        <v>5.3754056271622517</v>
      </c>
      <c r="M32">
        <f t="shared" si="3"/>
        <v>28.894985656527599</v>
      </c>
      <c r="N32">
        <f t="shared" si="4"/>
        <v>-24.189325322230133</v>
      </c>
      <c r="O32">
        <f t="shared" si="5"/>
        <v>20.25</v>
      </c>
      <c r="P32" s="3">
        <f t="shared" si="6"/>
        <v>60.280316245095577</v>
      </c>
      <c r="Q32" s="3">
        <f t="shared" si="7"/>
        <v>14.626502651951796</v>
      </c>
      <c r="R32" s="3">
        <f t="shared" si="8"/>
        <v>213.93457982755291</v>
      </c>
    </row>
    <row r="33" spans="8:18" x14ac:dyDescent="0.3">
      <c r="H33">
        <f>'Data Generator'!A33</f>
        <v>32</v>
      </c>
      <c r="I33">
        <f>'Data Generator'!C33</f>
        <v>64.219395928981811</v>
      </c>
      <c r="J33">
        <f t="shared" si="0"/>
        <v>-3.5</v>
      </c>
      <c r="K33">
        <f t="shared" si="1"/>
        <v>12.25</v>
      </c>
      <c r="L33">
        <f t="shared" si="2"/>
        <v>-5.31201734090331</v>
      </c>
      <c r="M33">
        <f t="shared" si="3"/>
        <v>28.217528230057471</v>
      </c>
      <c r="N33">
        <f t="shared" si="4"/>
        <v>18.592060693161585</v>
      </c>
      <c r="O33">
        <f t="shared" si="5"/>
        <v>12.25</v>
      </c>
      <c r="P33" s="3">
        <f t="shared" si="6"/>
        <v>62.336115583937698</v>
      </c>
      <c r="Q33" s="3">
        <f t="shared" si="7"/>
        <v>1.8832803450441133</v>
      </c>
      <c r="R33" s="3">
        <f t="shared" si="8"/>
        <v>3.5467448580294745</v>
      </c>
    </row>
    <row r="34" spans="8:18" x14ac:dyDescent="0.3">
      <c r="H34">
        <f>'Data Generator'!A34</f>
        <v>33</v>
      </c>
      <c r="I34">
        <f>'Data Generator'!C34</f>
        <v>67.729872034891102</v>
      </c>
      <c r="J34">
        <f t="shared" ref="J34:J65" si="9">H34 - $B$1</f>
        <v>-2.5</v>
      </c>
      <c r="K34">
        <f t="shared" ref="K34:K65" si="10">J34^2</f>
        <v>6.25</v>
      </c>
      <c r="L34">
        <f t="shared" ref="L34:L65" si="11">I34-$B$2</f>
        <v>-1.8015412349940192</v>
      </c>
      <c r="M34">
        <f t="shared" ref="M34:M65" si="12">L34^2</f>
        <v>3.2455508213837758</v>
      </c>
      <c r="N34">
        <f t="shared" ref="N34:N65" si="13">J34*L34</f>
        <v>4.503853087485048</v>
      </c>
      <c r="O34">
        <f t="shared" ref="O34:O65" si="14">J34^2</f>
        <v>6.25</v>
      </c>
      <c r="P34" s="3">
        <f t="shared" ref="P34:P65" si="15">H34*$B$5 + $B$4</f>
        <v>64.391914922779819</v>
      </c>
      <c r="Q34" s="3">
        <f t="shared" ref="Q34:Q65" si="16">I34-P34</f>
        <v>3.3379571121112832</v>
      </c>
      <c r="R34" s="3">
        <f t="shared" ref="R34:R65" si="17">Q34^2</f>
        <v>11.141957682294297</v>
      </c>
    </row>
    <row r="35" spans="8:18" x14ac:dyDescent="0.3">
      <c r="H35">
        <f>'Data Generator'!A35</f>
        <v>34</v>
      </c>
      <c r="I35">
        <f>'Data Generator'!C35</f>
        <v>54.537495445100362</v>
      </c>
      <c r="J35">
        <f t="shared" si="9"/>
        <v>-1.5</v>
      </c>
      <c r="K35">
        <f t="shared" si="10"/>
        <v>2.25</v>
      </c>
      <c r="L35">
        <f t="shared" si="11"/>
        <v>-14.993917824784759</v>
      </c>
      <c r="M35">
        <f t="shared" si="12"/>
        <v>224.81757173639812</v>
      </c>
      <c r="N35">
        <f t="shared" si="13"/>
        <v>22.490876737177139</v>
      </c>
      <c r="O35">
        <f t="shared" si="14"/>
        <v>2.25</v>
      </c>
      <c r="P35" s="3">
        <f t="shared" si="15"/>
        <v>66.44771426162194</v>
      </c>
      <c r="Q35" s="3">
        <f t="shared" si="16"/>
        <v>-11.910218816521578</v>
      </c>
      <c r="R35" s="3">
        <f t="shared" si="17"/>
        <v>141.85331225742465</v>
      </c>
    </row>
    <row r="36" spans="8:18" x14ac:dyDescent="0.3">
      <c r="H36">
        <f>'Data Generator'!A36</f>
        <v>35</v>
      </c>
      <c r="I36">
        <f>'Data Generator'!C36</f>
        <v>54.245166923210284</v>
      </c>
      <c r="J36">
        <f t="shared" si="9"/>
        <v>-0.5</v>
      </c>
      <c r="K36">
        <f t="shared" si="10"/>
        <v>0.25</v>
      </c>
      <c r="L36">
        <f t="shared" si="11"/>
        <v>-15.286246346674837</v>
      </c>
      <c r="M36">
        <f t="shared" si="12"/>
        <v>233.6693273712298</v>
      </c>
      <c r="N36">
        <f t="shared" si="13"/>
        <v>7.6431231733374183</v>
      </c>
      <c r="O36">
        <f t="shared" si="14"/>
        <v>0.25</v>
      </c>
      <c r="P36" s="3">
        <f t="shared" si="15"/>
        <v>68.503513600464061</v>
      </c>
      <c r="Q36" s="3">
        <f t="shared" si="16"/>
        <v>-14.258346677253776</v>
      </c>
      <c r="R36" s="3">
        <f t="shared" si="17"/>
        <v>203.30044996875381</v>
      </c>
    </row>
    <row r="37" spans="8:18" x14ac:dyDescent="0.3">
      <c r="H37">
        <f>'Data Generator'!A37</f>
        <v>36</v>
      </c>
      <c r="I37">
        <f>'Data Generator'!C37</f>
        <v>69.147494664631012</v>
      </c>
      <c r="J37">
        <f t="shared" si="9"/>
        <v>0.5</v>
      </c>
      <c r="K37">
        <f t="shared" si="10"/>
        <v>0.25</v>
      </c>
      <c r="L37">
        <f t="shared" si="11"/>
        <v>-0.38391860525410948</v>
      </c>
      <c r="M37">
        <f t="shared" si="12"/>
        <v>0.14739349546026073</v>
      </c>
      <c r="N37">
        <f t="shared" si="13"/>
        <v>-0.19195930262705474</v>
      </c>
      <c r="O37">
        <f t="shared" si="14"/>
        <v>0.25</v>
      </c>
      <c r="P37" s="3">
        <f t="shared" si="15"/>
        <v>70.559312939306182</v>
      </c>
      <c r="Q37" s="3">
        <f t="shared" si="16"/>
        <v>-1.41181827467517</v>
      </c>
      <c r="R37" s="3">
        <f t="shared" si="17"/>
        <v>1.9932308407067736</v>
      </c>
    </row>
    <row r="38" spans="8:18" x14ac:dyDescent="0.3">
      <c r="H38">
        <f>'Data Generator'!A38</f>
        <v>37</v>
      </c>
      <c r="I38">
        <f>'Data Generator'!C38</f>
        <v>88.86913407519917</v>
      </c>
      <c r="J38">
        <f t="shared" si="9"/>
        <v>1.5</v>
      </c>
      <c r="K38">
        <f t="shared" si="10"/>
        <v>2.25</v>
      </c>
      <c r="L38">
        <f t="shared" si="11"/>
        <v>19.337720805314049</v>
      </c>
      <c r="M38">
        <f t="shared" si="12"/>
        <v>373.94744594427584</v>
      </c>
      <c r="N38">
        <f t="shared" si="13"/>
        <v>29.006581207971074</v>
      </c>
      <c r="O38">
        <f t="shared" si="14"/>
        <v>2.25</v>
      </c>
      <c r="P38" s="3">
        <f t="shared" si="15"/>
        <v>72.615112278148302</v>
      </c>
      <c r="Q38" s="3">
        <f t="shared" si="16"/>
        <v>16.254021797050868</v>
      </c>
      <c r="R38" s="3">
        <f t="shared" si="17"/>
        <v>264.19322457900472</v>
      </c>
    </row>
    <row r="39" spans="8:18" x14ac:dyDescent="0.3">
      <c r="H39">
        <f>'Data Generator'!A39</f>
        <v>38</v>
      </c>
      <c r="I39">
        <f>'Data Generator'!C39</f>
        <v>68.959805844293527</v>
      </c>
      <c r="J39">
        <f t="shared" si="9"/>
        <v>2.5</v>
      </c>
      <c r="K39">
        <f t="shared" si="10"/>
        <v>6.25</v>
      </c>
      <c r="L39">
        <f t="shared" si="11"/>
        <v>-0.57160742559159416</v>
      </c>
      <c r="M39">
        <f t="shared" si="12"/>
        <v>0.32673504899144984</v>
      </c>
      <c r="N39">
        <f t="shared" si="13"/>
        <v>-1.4290185639789854</v>
      </c>
      <c r="O39">
        <f t="shared" si="14"/>
        <v>6.25</v>
      </c>
      <c r="P39" s="3">
        <f t="shared" si="15"/>
        <v>74.670911616990423</v>
      </c>
      <c r="Q39" s="3">
        <f t="shared" si="16"/>
        <v>-5.7111057726968966</v>
      </c>
      <c r="R39" s="3">
        <f t="shared" si="17"/>
        <v>32.616729146931817</v>
      </c>
    </row>
    <row r="40" spans="8:18" x14ac:dyDescent="0.3">
      <c r="H40">
        <f>'Data Generator'!A40</f>
        <v>39</v>
      </c>
      <c r="I40">
        <f>'Data Generator'!C40</f>
        <v>69.264217949875871</v>
      </c>
      <c r="J40">
        <f t="shared" si="9"/>
        <v>3.5</v>
      </c>
      <c r="K40">
        <f t="shared" si="10"/>
        <v>12.25</v>
      </c>
      <c r="L40">
        <f t="shared" si="11"/>
        <v>-0.26719532000925028</v>
      </c>
      <c r="M40">
        <f t="shared" si="12"/>
        <v>7.1393339034845668E-2</v>
      </c>
      <c r="N40">
        <f t="shared" si="13"/>
        <v>-0.93518362003237598</v>
      </c>
      <c r="O40">
        <f t="shared" si="14"/>
        <v>12.25</v>
      </c>
      <c r="P40" s="3">
        <f t="shared" si="15"/>
        <v>76.726710955832544</v>
      </c>
      <c r="Q40" s="3">
        <f t="shared" si="16"/>
        <v>-7.4624930059566736</v>
      </c>
      <c r="R40" s="3">
        <f t="shared" si="17"/>
        <v>55.688801863952271</v>
      </c>
    </row>
    <row r="41" spans="8:18" x14ac:dyDescent="0.3">
      <c r="H41">
        <f>'Data Generator'!A41</f>
        <v>40</v>
      </c>
      <c r="I41">
        <f>'Data Generator'!C41</f>
        <v>79.072004641522867</v>
      </c>
      <c r="J41">
        <f t="shared" si="9"/>
        <v>4.5</v>
      </c>
      <c r="K41">
        <f t="shared" si="10"/>
        <v>20.25</v>
      </c>
      <c r="L41">
        <f t="shared" si="11"/>
        <v>9.5405913716377455</v>
      </c>
      <c r="M41">
        <f t="shared" si="12"/>
        <v>91.022883720568601</v>
      </c>
      <c r="N41">
        <f t="shared" si="13"/>
        <v>42.932661172369855</v>
      </c>
      <c r="O41">
        <f t="shared" si="14"/>
        <v>20.25</v>
      </c>
      <c r="P41" s="3">
        <f t="shared" si="15"/>
        <v>78.782510294674665</v>
      </c>
      <c r="Q41" s="3">
        <f t="shared" si="16"/>
        <v>0.28949434684820119</v>
      </c>
      <c r="R41" s="3">
        <f t="shared" si="17"/>
        <v>8.3806976857066617E-2</v>
      </c>
    </row>
    <row r="42" spans="8:18" x14ac:dyDescent="0.3">
      <c r="H42">
        <f>'Data Generator'!A42</f>
        <v>41</v>
      </c>
      <c r="I42">
        <f>'Data Generator'!C42</f>
        <v>82.444265488982126</v>
      </c>
      <c r="J42">
        <f t="shared" si="9"/>
        <v>5.5</v>
      </c>
      <c r="K42">
        <f t="shared" si="10"/>
        <v>30.25</v>
      </c>
      <c r="L42">
        <f t="shared" si="11"/>
        <v>12.912852219097005</v>
      </c>
      <c r="M42">
        <f t="shared" si="12"/>
        <v>166.74175243223843</v>
      </c>
      <c r="N42">
        <f t="shared" si="13"/>
        <v>71.020687205033525</v>
      </c>
      <c r="O42">
        <f t="shared" si="14"/>
        <v>30.25</v>
      </c>
      <c r="P42" s="3">
        <f t="shared" si="15"/>
        <v>80.838309633516801</v>
      </c>
      <c r="Q42" s="3">
        <f t="shared" si="16"/>
        <v>1.605955855465325</v>
      </c>
      <c r="R42" s="3">
        <f t="shared" si="17"/>
        <v>2.579094209703364</v>
      </c>
    </row>
    <row r="43" spans="8:18" x14ac:dyDescent="0.3">
      <c r="H43">
        <f>'Data Generator'!A43</f>
        <v>42</v>
      </c>
      <c r="I43">
        <f>'Data Generator'!C43</f>
        <v>77.978418806882033</v>
      </c>
      <c r="J43">
        <f t="shared" si="9"/>
        <v>6.5</v>
      </c>
      <c r="K43">
        <f t="shared" si="10"/>
        <v>42.25</v>
      </c>
      <c r="L43">
        <f t="shared" si="11"/>
        <v>8.4470055369969117</v>
      </c>
      <c r="M43">
        <f t="shared" si="12"/>
        <v>71.351902542056479</v>
      </c>
      <c r="N43">
        <f t="shared" si="13"/>
        <v>54.905535990479926</v>
      </c>
      <c r="O43">
        <f t="shared" si="14"/>
        <v>42.25</v>
      </c>
      <c r="P43" s="3">
        <f t="shared" si="15"/>
        <v>82.894108972358922</v>
      </c>
      <c r="Q43" s="3">
        <f t="shared" si="16"/>
        <v>-4.9156901654768888</v>
      </c>
      <c r="R43" s="3">
        <f t="shared" si="17"/>
        <v>24.164009802966202</v>
      </c>
    </row>
    <row r="44" spans="8:18" x14ac:dyDescent="0.3">
      <c r="H44">
        <f>'Data Generator'!A44</f>
        <v>43</v>
      </c>
      <c r="I44">
        <f>'Data Generator'!C44</f>
        <v>99.709534669269004</v>
      </c>
      <c r="J44">
        <f t="shared" si="9"/>
        <v>7.5</v>
      </c>
      <c r="K44">
        <f t="shared" si="10"/>
        <v>56.25</v>
      </c>
      <c r="L44">
        <f t="shared" si="11"/>
        <v>30.178121399383883</v>
      </c>
      <c r="M44">
        <f t="shared" si="12"/>
        <v>910.71901119595145</v>
      </c>
      <c r="N44">
        <f t="shared" si="13"/>
        <v>226.33591049537912</v>
      </c>
      <c r="O44">
        <f t="shared" si="14"/>
        <v>56.25</v>
      </c>
      <c r="P44" s="3">
        <f t="shared" si="15"/>
        <v>84.949908311201042</v>
      </c>
      <c r="Q44" s="3">
        <f t="shared" si="16"/>
        <v>14.759626358067962</v>
      </c>
      <c r="R44" s="3">
        <f t="shared" si="17"/>
        <v>217.84657022977453</v>
      </c>
    </row>
    <row r="45" spans="8:18" x14ac:dyDescent="0.3">
      <c r="H45">
        <f>'Data Generator'!A45</f>
        <v>44</v>
      </c>
      <c r="I45">
        <f>'Data Generator'!C45</f>
        <v>79.858522185875017</v>
      </c>
      <c r="J45">
        <f t="shared" si="9"/>
        <v>8.5</v>
      </c>
      <c r="K45">
        <f t="shared" si="10"/>
        <v>72.25</v>
      </c>
      <c r="L45">
        <f t="shared" si="11"/>
        <v>10.327108915989896</v>
      </c>
      <c r="M45">
        <f t="shared" si="12"/>
        <v>106.64917856271801</v>
      </c>
      <c r="N45">
        <f t="shared" si="13"/>
        <v>87.780425785914119</v>
      </c>
      <c r="O45">
        <f t="shared" si="14"/>
        <v>72.25</v>
      </c>
      <c r="P45" s="3">
        <f t="shared" si="15"/>
        <v>87.005707650043163</v>
      </c>
      <c r="Q45" s="3">
        <f t="shared" si="16"/>
        <v>-7.147185464168146</v>
      </c>
      <c r="R45" s="3">
        <f t="shared" si="17"/>
        <v>51.082260059216438</v>
      </c>
    </row>
    <row r="46" spans="8:18" x14ac:dyDescent="0.3">
      <c r="H46">
        <f>'Data Generator'!A46</f>
        <v>45</v>
      </c>
      <c r="I46">
        <f>'Data Generator'!C46</f>
        <v>105.35139129549157</v>
      </c>
      <c r="J46">
        <f t="shared" si="9"/>
        <v>9.5</v>
      </c>
      <c r="K46">
        <f t="shared" si="10"/>
        <v>90.25</v>
      </c>
      <c r="L46">
        <f t="shared" si="11"/>
        <v>35.819978025606446</v>
      </c>
      <c r="M46">
        <f t="shared" si="12"/>
        <v>1283.0708257549286</v>
      </c>
      <c r="N46">
        <f t="shared" si="13"/>
        <v>340.28979124326122</v>
      </c>
      <c r="O46">
        <f t="shared" si="14"/>
        <v>90.25</v>
      </c>
      <c r="P46" s="3">
        <f t="shared" si="15"/>
        <v>89.061506988885284</v>
      </c>
      <c r="Q46" s="3">
        <f t="shared" si="16"/>
        <v>16.289884306606282</v>
      </c>
      <c r="R46" s="3">
        <f t="shared" si="17"/>
        <v>265.36033072261762</v>
      </c>
    </row>
    <row r="47" spans="8:18" x14ac:dyDescent="0.3">
      <c r="H47">
        <f>'Data Generator'!A47</f>
        <v>46</v>
      </c>
      <c r="I47">
        <f>'Data Generator'!C47</f>
        <v>85.791423987509759</v>
      </c>
      <c r="J47">
        <f t="shared" si="9"/>
        <v>10.5</v>
      </c>
      <c r="K47">
        <f t="shared" si="10"/>
        <v>110.25</v>
      </c>
      <c r="L47">
        <f t="shared" si="11"/>
        <v>16.260010717624638</v>
      </c>
      <c r="M47">
        <f t="shared" si="12"/>
        <v>264.38794853726813</v>
      </c>
      <c r="N47">
        <f t="shared" si="13"/>
        <v>170.73011253505871</v>
      </c>
      <c r="O47">
        <f t="shared" si="14"/>
        <v>110.25</v>
      </c>
      <c r="P47" s="3">
        <f t="shared" si="15"/>
        <v>91.117306327727405</v>
      </c>
      <c r="Q47" s="3">
        <f t="shared" si="16"/>
        <v>-5.3258823402176461</v>
      </c>
      <c r="R47" s="3">
        <f t="shared" si="17"/>
        <v>28.365022701842189</v>
      </c>
    </row>
    <row r="48" spans="8:18" x14ac:dyDescent="0.3">
      <c r="H48">
        <f>'Data Generator'!A48</f>
        <v>47</v>
      </c>
      <c r="I48">
        <f>'Data Generator'!C48</f>
        <v>93.705376102255528</v>
      </c>
      <c r="J48">
        <f t="shared" si="9"/>
        <v>11.5</v>
      </c>
      <c r="K48">
        <f t="shared" si="10"/>
        <v>132.25</v>
      </c>
      <c r="L48">
        <f t="shared" si="11"/>
        <v>24.173962832370407</v>
      </c>
      <c r="M48">
        <f t="shared" si="12"/>
        <v>584.38047902082587</v>
      </c>
      <c r="N48">
        <f t="shared" si="13"/>
        <v>278.00057257225967</v>
      </c>
      <c r="O48">
        <f t="shared" si="14"/>
        <v>132.25</v>
      </c>
      <c r="P48" s="3">
        <f t="shared" si="15"/>
        <v>93.173105666569526</v>
      </c>
      <c r="Q48" s="3">
        <f t="shared" si="16"/>
        <v>0.53227043568600152</v>
      </c>
      <c r="R48" s="3">
        <f t="shared" si="17"/>
        <v>0.28331181670536587</v>
      </c>
    </row>
    <row r="49" spans="8:18" x14ac:dyDescent="0.3">
      <c r="H49">
        <f>'Data Generator'!A49</f>
        <v>48</v>
      </c>
      <c r="I49">
        <f>'Data Generator'!C49</f>
        <v>73.265728240031947</v>
      </c>
      <c r="J49">
        <f t="shared" si="9"/>
        <v>12.5</v>
      </c>
      <c r="K49">
        <f t="shared" si="10"/>
        <v>156.25</v>
      </c>
      <c r="L49">
        <f t="shared" si="11"/>
        <v>3.7343149701468263</v>
      </c>
      <c r="M49">
        <f t="shared" si="12"/>
        <v>13.945108296262692</v>
      </c>
      <c r="N49">
        <f t="shared" si="13"/>
        <v>46.678937126835329</v>
      </c>
      <c r="O49">
        <f t="shared" si="14"/>
        <v>156.25</v>
      </c>
      <c r="P49" s="3">
        <f t="shared" si="15"/>
        <v>95.228905005411647</v>
      </c>
      <c r="Q49" s="3">
        <f t="shared" si="16"/>
        <v>-21.9631767653797</v>
      </c>
      <c r="R49" s="3">
        <f t="shared" si="17"/>
        <v>482.38113362731468</v>
      </c>
    </row>
    <row r="50" spans="8:18" x14ac:dyDescent="0.3">
      <c r="H50">
        <f>'Data Generator'!A50</f>
        <v>49</v>
      </c>
      <c r="I50">
        <f>'Data Generator'!C50</f>
        <v>86.637740770873322</v>
      </c>
      <c r="J50">
        <f t="shared" si="9"/>
        <v>13.5</v>
      </c>
      <c r="K50">
        <f t="shared" si="10"/>
        <v>182.25</v>
      </c>
      <c r="L50">
        <f t="shared" si="11"/>
        <v>17.106327500988201</v>
      </c>
      <c r="M50">
        <f t="shared" si="12"/>
        <v>292.62644057106519</v>
      </c>
      <c r="N50">
        <f t="shared" si="13"/>
        <v>230.93542126334071</v>
      </c>
      <c r="O50">
        <f t="shared" si="14"/>
        <v>182.25</v>
      </c>
      <c r="P50" s="3">
        <f t="shared" si="15"/>
        <v>97.284704344253768</v>
      </c>
      <c r="Q50" s="3">
        <f t="shared" si="16"/>
        <v>-10.646963573380447</v>
      </c>
      <c r="R50" s="3">
        <f t="shared" si="17"/>
        <v>113.35783333289012</v>
      </c>
    </row>
    <row r="51" spans="8:18" x14ac:dyDescent="0.3">
      <c r="H51">
        <f>'Data Generator'!A51</f>
        <v>50</v>
      </c>
      <c r="I51">
        <f>'Data Generator'!C51</f>
        <v>86.126695909865475</v>
      </c>
      <c r="J51">
        <f t="shared" si="9"/>
        <v>14.5</v>
      </c>
      <c r="K51">
        <f t="shared" si="10"/>
        <v>210.25</v>
      </c>
      <c r="L51">
        <f t="shared" si="11"/>
        <v>16.595282639980354</v>
      </c>
      <c r="M51">
        <f t="shared" si="12"/>
        <v>275.40340590083332</v>
      </c>
      <c r="N51">
        <f t="shared" si="13"/>
        <v>240.63159827971515</v>
      </c>
      <c r="O51">
        <f t="shared" si="14"/>
        <v>210.25</v>
      </c>
      <c r="P51" s="3">
        <f t="shared" si="15"/>
        <v>99.340503683095889</v>
      </c>
      <c r="Q51" s="3">
        <f t="shared" si="16"/>
        <v>-13.213807773230414</v>
      </c>
      <c r="R51" s="3">
        <f t="shared" si="17"/>
        <v>174.60471586788452</v>
      </c>
    </row>
    <row r="52" spans="8:18" x14ac:dyDescent="0.3">
      <c r="H52">
        <f>'Data Generator'!A52</f>
        <v>51</v>
      </c>
      <c r="I52">
        <f>'Data Generator'!C52</f>
        <v>118.26865989372772</v>
      </c>
      <c r="J52">
        <f t="shared" si="9"/>
        <v>15.5</v>
      </c>
      <c r="K52">
        <f t="shared" si="10"/>
        <v>240.25</v>
      </c>
      <c r="L52">
        <f t="shared" si="11"/>
        <v>48.737246623842594</v>
      </c>
      <c r="M52">
        <f t="shared" si="12"/>
        <v>2375.3192084732564</v>
      </c>
      <c r="N52">
        <f t="shared" si="13"/>
        <v>755.42732266956023</v>
      </c>
      <c r="O52">
        <f t="shared" si="14"/>
        <v>240.25</v>
      </c>
      <c r="P52" s="3">
        <f t="shared" si="15"/>
        <v>101.39630302193801</v>
      </c>
      <c r="Q52" s="3">
        <f t="shared" si="16"/>
        <v>16.872356871789705</v>
      </c>
      <c r="R52" s="3">
        <f t="shared" si="17"/>
        <v>284.67642640902926</v>
      </c>
    </row>
    <row r="53" spans="8:18" x14ac:dyDescent="0.3">
      <c r="H53">
        <f>'Data Generator'!A53</f>
        <v>52</v>
      </c>
      <c r="I53">
        <f>'Data Generator'!C53</f>
        <v>95.802824493217059</v>
      </c>
      <c r="J53">
        <f t="shared" si="9"/>
        <v>16.5</v>
      </c>
      <c r="K53">
        <f t="shared" si="10"/>
        <v>272.25</v>
      </c>
      <c r="L53">
        <f t="shared" si="11"/>
        <v>26.271411223331938</v>
      </c>
      <c r="M53">
        <f t="shared" si="12"/>
        <v>690.18704766541134</v>
      </c>
      <c r="N53">
        <f t="shared" si="13"/>
        <v>433.47828518497698</v>
      </c>
      <c r="O53">
        <f t="shared" si="14"/>
        <v>272.25</v>
      </c>
      <c r="P53" s="3">
        <f t="shared" si="15"/>
        <v>103.45210236078013</v>
      </c>
      <c r="Q53" s="3">
        <f t="shared" si="16"/>
        <v>-7.6492778675630717</v>
      </c>
      <c r="R53" s="3">
        <f t="shared" si="17"/>
        <v>58.511451895190255</v>
      </c>
    </row>
    <row r="54" spans="8:18" x14ac:dyDescent="0.3">
      <c r="H54">
        <f>'Data Generator'!A54</f>
        <v>53</v>
      </c>
      <c r="I54">
        <f>'Data Generator'!C54</f>
        <v>93.705233523273776</v>
      </c>
      <c r="J54">
        <f t="shared" si="9"/>
        <v>17.5</v>
      </c>
      <c r="K54">
        <f t="shared" si="10"/>
        <v>306.25</v>
      </c>
      <c r="L54">
        <f t="shared" si="11"/>
        <v>24.173820253388655</v>
      </c>
      <c r="M54">
        <f t="shared" si="12"/>
        <v>584.37358564314354</v>
      </c>
      <c r="N54">
        <f t="shared" si="13"/>
        <v>423.04185443430146</v>
      </c>
      <c r="O54">
        <f t="shared" si="14"/>
        <v>306.25</v>
      </c>
      <c r="P54" s="3">
        <f t="shared" si="15"/>
        <v>105.50790169962225</v>
      </c>
      <c r="Q54" s="3">
        <f t="shared" si="16"/>
        <v>-11.802668176348476</v>
      </c>
      <c r="R54" s="3">
        <f t="shared" si="17"/>
        <v>139.30297608098905</v>
      </c>
    </row>
    <row r="55" spans="8:18" x14ac:dyDescent="0.3">
      <c r="H55">
        <f>'Data Generator'!A55</f>
        <v>54</v>
      </c>
      <c r="I55">
        <f>'Data Generator'!C55</f>
        <v>111.62830042612845</v>
      </c>
      <c r="J55">
        <f t="shared" si="9"/>
        <v>18.5</v>
      </c>
      <c r="K55">
        <f t="shared" si="10"/>
        <v>342.25</v>
      </c>
      <c r="L55">
        <f t="shared" si="11"/>
        <v>42.096887156243326</v>
      </c>
      <c r="M55">
        <f t="shared" si="12"/>
        <v>1772.1479082454844</v>
      </c>
      <c r="N55">
        <f t="shared" si="13"/>
        <v>778.79241239050157</v>
      </c>
      <c r="O55">
        <f t="shared" si="14"/>
        <v>342.25</v>
      </c>
      <c r="P55" s="3">
        <f t="shared" si="15"/>
        <v>107.56370103846437</v>
      </c>
      <c r="Q55" s="3">
        <f t="shared" si="16"/>
        <v>4.0645993876640745</v>
      </c>
      <c r="R55" s="3">
        <f t="shared" si="17"/>
        <v>16.520968182199169</v>
      </c>
    </row>
    <row r="56" spans="8:18" x14ac:dyDescent="0.3">
      <c r="H56">
        <f>'Data Generator'!A56</f>
        <v>55</v>
      </c>
      <c r="I56">
        <f>'Data Generator'!C56</f>
        <v>96.935547064338806</v>
      </c>
      <c r="J56">
        <f t="shared" si="9"/>
        <v>19.5</v>
      </c>
      <c r="K56">
        <f t="shared" si="10"/>
        <v>380.25</v>
      </c>
      <c r="L56">
        <f t="shared" si="11"/>
        <v>27.404133794453685</v>
      </c>
      <c r="M56">
        <f t="shared" si="12"/>
        <v>750.98654902431849</v>
      </c>
      <c r="N56">
        <f t="shared" si="13"/>
        <v>534.38060899184688</v>
      </c>
      <c r="O56">
        <f t="shared" si="14"/>
        <v>380.25</v>
      </c>
      <c r="P56" s="3">
        <f t="shared" si="15"/>
        <v>109.61950037730649</v>
      </c>
      <c r="Q56" s="3">
        <f t="shared" si="16"/>
        <v>-12.683953312967688</v>
      </c>
      <c r="R56" s="3">
        <f t="shared" si="17"/>
        <v>160.88267164554398</v>
      </c>
    </row>
    <row r="57" spans="8:18" x14ac:dyDescent="0.3">
      <c r="H57">
        <f>'Data Generator'!A57</f>
        <v>56</v>
      </c>
      <c r="I57">
        <f>'Data Generator'!C57</f>
        <v>114.27606699015359</v>
      </c>
      <c r="J57">
        <f t="shared" si="9"/>
        <v>20.5</v>
      </c>
      <c r="K57">
        <f t="shared" si="10"/>
        <v>420.25</v>
      </c>
      <c r="L57">
        <f t="shared" si="11"/>
        <v>44.744653720268474</v>
      </c>
      <c r="M57">
        <f t="shared" si="12"/>
        <v>2002.0840365467354</v>
      </c>
      <c r="N57">
        <f t="shared" si="13"/>
        <v>917.26540126550367</v>
      </c>
      <c r="O57">
        <f t="shared" si="14"/>
        <v>420.25</v>
      </c>
      <c r="P57" s="3">
        <f t="shared" si="15"/>
        <v>111.67529971614863</v>
      </c>
      <c r="Q57" s="3">
        <f t="shared" si="16"/>
        <v>2.6007672740049657</v>
      </c>
      <c r="R57" s="3">
        <f t="shared" si="17"/>
        <v>6.76399041353522</v>
      </c>
    </row>
    <row r="58" spans="8:18" x14ac:dyDescent="0.3">
      <c r="H58">
        <f>'Data Generator'!A58</f>
        <v>57</v>
      </c>
      <c r="I58">
        <f>'Data Generator'!C58</f>
        <v>118.18216353174421</v>
      </c>
      <c r="J58">
        <f t="shared" si="9"/>
        <v>21.5</v>
      </c>
      <c r="K58">
        <f t="shared" si="10"/>
        <v>462.25</v>
      </c>
      <c r="L58">
        <f t="shared" si="11"/>
        <v>48.650750261859088</v>
      </c>
      <c r="M58">
        <f t="shared" si="12"/>
        <v>2366.8955010417822</v>
      </c>
      <c r="N58">
        <f t="shared" si="13"/>
        <v>1045.9911306299705</v>
      </c>
      <c r="O58">
        <f t="shared" si="14"/>
        <v>462.25</v>
      </c>
      <c r="P58" s="3">
        <f t="shared" si="15"/>
        <v>113.73109905499075</v>
      </c>
      <c r="Q58" s="3">
        <f t="shared" si="16"/>
        <v>4.4510644767534586</v>
      </c>
      <c r="R58" s="3">
        <f t="shared" si="17"/>
        <v>19.81197497621654</v>
      </c>
    </row>
    <row r="59" spans="8:18" x14ac:dyDescent="0.3">
      <c r="H59">
        <f>'Data Generator'!A59</f>
        <v>58</v>
      </c>
      <c r="I59">
        <f>'Data Generator'!C59</f>
        <v>112.41707476405537</v>
      </c>
      <c r="J59">
        <f t="shared" si="9"/>
        <v>22.5</v>
      </c>
      <c r="K59">
        <f t="shared" si="10"/>
        <v>506.25</v>
      </c>
      <c r="L59">
        <f t="shared" si="11"/>
        <v>42.88566149417025</v>
      </c>
      <c r="M59">
        <f t="shared" si="12"/>
        <v>1839.1799617925569</v>
      </c>
      <c r="N59">
        <f t="shared" si="13"/>
        <v>964.92738361883062</v>
      </c>
      <c r="O59">
        <f t="shared" si="14"/>
        <v>506.25</v>
      </c>
      <c r="P59" s="3">
        <f t="shared" si="15"/>
        <v>115.78689839383287</v>
      </c>
      <c r="Q59" s="3">
        <f t="shared" si="16"/>
        <v>-3.3698236297774997</v>
      </c>
      <c r="R59" s="3">
        <f t="shared" si="17"/>
        <v>11.355711295806804</v>
      </c>
    </row>
    <row r="60" spans="8:18" x14ac:dyDescent="0.3">
      <c r="H60">
        <f>'Data Generator'!A60</f>
        <v>59</v>
      </c>
      <c r="I60">
        <f>'Data Generator'!C60</f>
        <v>107.68847965590952</v>
      </c>
      <c r="J60">
        <f t="shared" si="9"/>
        <v>23.5</v>
      </c>
      <c r="K60">
        <f t="shared" si="10"/>
        <v>552.25</v>
      </c>
      <c r="L60">
        <f t="shared" si="11"/>
        <v>38.157066386024397</v>
      </c>
      <c r="M60">
        <f t="shared" si="12"/>
        <v>1455.9617151874729</v>
      </c>
      <c r="N60">
        <f t="shared" si="13"/>
        <v>896.69106007157336</v>
      </c>
      <c r="O60">
        <f t="shared" si="14"/>
        <v>552.25</v>
      </c>
      <c r="P60" s="3">
        <f t="shared" si="15"/>
        <v>117.84269773267499</v>
      </c>
      <c r="Q60" s="3">
        <f t="shared" si="16"/>
        <v>-10.154218076765474</v>
      </c>
      <c r="R60" s="3">
        <f t="shared" si="17"/>
        <v>103.10814475051073</v>
      </c>
    </row>
    <row r="61" spans="8:18" x14ac:dyDescent="0.3">
      <c r="H61">
        <f>'Data Generator'!A61</f>
        <v>60</v>
      </c>
      <c r="I61">
        <f>'Data Generator'!C61</f>
        <v>134.48138912063663</v>
      </c>
      <c r="J61">
        <f t="shared" si="9"/>
        <v>24.5</v>
      </c>
      <c r="K61">
        <f t="shared" si="10"/>
        <v>600.25</v>
      </c>
      <c r="L61">
        <f t="shared" si="11"/>
        <v>64.949975850751514</v>
      </c>
      <c r="M61">
        <f t="shared" si="12"/>
        <v>4218.4993630132049</v>
      </c>
      <c r="N61">
        <f t="shared" si="13"/>
        <v>1591.274408343412</v>
      </c>
      <c r="O61">
        <f t="shared" si="14"/>
        <v>600.25</v>
      </c>
      <c r="P61" s="3">
        <f t="shared" si="15"/>
        <v>119.89849707151711</v>
      </c>
      <c r="Q61" s="3">
        <f t="shared" si="16"/>
        <v>14.582892049119522</v>
      </c>
      <c r="R61" s="3">
        <f t="shared" si="17"/>
        <v>212.66074051627336</v>
      </c>
    </row>
    <row r="62" spans="8:18" x14ac:dyDescent="0.3">
      <c r="H62">
        <f>'Data Generator'!A62</f>
        <v>61</v>
      </c>
      <c r="I62">
        <f>'Data Generator'!C62</f>
        <v>119.77710169329532</v>
      </c>
      <c r="J62">
        <f t="shared" si="9"/>
        <v>25.5</v>
      </c>
      <c r="K62">
        <f t="shared" si="10"/>
        <v>650.25</v>
      </c>
      <c r="L62">
        <f t="shared" si="11"/>
        <v>50.245688423410201</v>
      </c>
      <c r="M62">
        <f t="shared" si="12"/>
        <v>2524.629205142418</v>
      </c>
      <c r="N62">
        <f t="shared" si="13"/>
        <v>1281.2650547969602</v>
      </c>
      <c r="O62">
        <f t="shared" si="14"/>
        <v>650.25</v>
      </c>
      <c r="P62" s="3">
        <f t="shared" si="15"/>
        <v>121.95429641035923</v>
      </c>
      <c r="Q62" s="3">
        <f t="shared" si="16"/>
        <v>-2.1771947170639123</v>
      </c>
      <c r="R62" s="3">
        <f t="shared" si="17"/>
        <v>4.7401768360110088</v>
      </c>
    </row>
    <row r="63" spans="8:18" x14ac:dyDescent="0.3">
      <c r="H63">
        <f>'Data Generator'!A63</f>
        <v>62</v>
      </c>
      <c r="I63">
        <f>'Data Generator'!C63</f>
        <v>108.94068240247235</v>
      </c>
      <c r="J63">
        <f t="shared" si="9"/>
        <v>26.5</v>
      </c>
      <c r="K63">
        <f t="shared" si="10"/>
        <v>702.25</v>
      </c>
      <c r="L63">
        <f t="shared" si="11"/>
        <v>39.409269132587227</v>
      </c>
      <c r="M63">
        <f t="shared" si="12"/>
        <v>1553.0904935646925</v>
      </c>
      <c r="N63">
        <f t="shared" si="13"/>
        <v>1044.3456320135615</v>
      </c>
      <c r="O63">
        <f t="shared" si="14"/>
        <v>702.25</v>
      </c>
      <c r="P63" s="3">
        <f t="shared" si="15"/>
        <v>124.01009574920135</v>
      </c>
      <c r="Q63" s="3">
        <f t="shared" si="16"/>
        <v>-15.069413346729007</v>
      </c>
      <c r="R63" s="3">
        <f t="shared" si="17"/>
        <v>227.08721861457434</v>
      </c>
    </row>
    <row r="64" spans="8:18" x14ac:dyDescent="0.3">
      <c r="H64">
        <f>'Data Generator'!A64</f>
        <v>63</v>
      </c>
      <c r="I64">
        <f>'Data Generator'!C64</f>
        <v>120.64254218693165</v>
      </c>
      <c r="J64">
        <f t="shared" si="9"/>
        <v>27.5</v>
      </c>
      <c r="K64">
        <f t="shared" si="10"/>
        <v>756.25</v>
      </c>
      <c r="L64">
        <f t="shared" si="11"/>
        <v>51.111128917046528</v>
      </c>
      <c r="M64">
        <f t="shared" si="12"/>
        <v>2612.3474991749499</v>
      </c>
      <c r="N64">
        <f t="shared" si="13"/>
        <v>1405.5560452187794</v>
      </c>
      <c r="O64">
        <f t="shared" si="14"/>
        <v>756.25</v>
      </c>
      <c r="P64" s="3">
        <f t="shared" si="15"/>
        <v>126.06589508804348</v>
      </c>
      <c r="Q64" s="3">
        <f t="shared" si="16"/>
        <v>-5.4233529011118264</v>
      </c>
      <c r="R64" s="3">
        <f t="shared" si="17"/>
        <v>29.412756689998066</v>
      </c>
    </row>
    <row r="65" spans="8:18" x14ac:dyDescent="0.3">
      <c r="H65">
        <f>'Data Generator'!A65</f>
        <v>64</v>
      </c>
      <c r="I65">
        <f>'Data Generator'!C65</f>
        <v>143.57729761683603</v>
      </c>
      <c r="J65">
        <f t="shared" si="9"/>
        <v>28.5</v>
      </c>
      <c r="K65">
        <f t="shared" si="10"/>
        <v>812.25</v>
      </c>
      <c r="L65">
        <f t="shared" si="11"/>
        <v>74.045884346950913</v>
      </c>
      <c r="M65">
        <f t="shared" si="12"/>
        <v>5482.7929887220307</v>
      </c>
      <c r="N65">
        <f t="shared" si="13"/>
        <v>2110.3077038881011</v>
      </c>
      <c r="O65">
        <f t="shared" si="14"/>
        <v>812.25</v>
      </c>
      <c r="P65" s="3">
        <f t="shared" si="15"/>
        <v>128.1216944268856</v>
      </c>
      <c r="Q65" s="3">
        <f t="shared" si="16"/>
        <v>15.455603189950438</v>
      </c>
      <c r="R65" s="3">
        <f t="shared" si="17"/>
        <v>238.87566996520613</v>
      </c>
    </row>
    <row r="66" spans="8:18" x14ac:dyDescent="0.3">
      <c r="H66">
        <f>'Data Generator'!A66</f>
        <v>65</v>
      </c>
      <c r="I66">
        <f>'Data Generator'!C66</f>
        <v>124.47203907448348</v>
      </c>
      <c r="J66">
        <f t="shared" ref="J66:J71" si="18">H66 - $B$1</f>
        <v>29.5</v>
      </c>
      <c r="K66">
        <f t="shared" ref="K66:K71" si="19">J66^2</f>
        <v>870.25</v>
      </c>
      <c r="L66">
        <f t="shared" ref="L66:L71" si="20">I66-$B$2</f>
        <v>54.940625804598355</v>
      </c>
      <c r="M66">
        <f t="shared" ref="M66:M71" si="21">L66^2</f>
        <v>3018.4723638008986</v>
      </c>
      <c r="N66">
        <f t="shared" ref="N66:N71" si="22">J66*L66</f>
        <v>1620.7484612356516</v>
      </c>
      <c r="O66">
        <f t="shared" ref="O66:O71" si="23">J66^2</f>
        <v>870.25</v>
      </c>
      <c r="P66" s="3">
        <f t="shared" ref="P66:P71" si="24">H66*$B$5 + $B$4</f>
        <v>130.17749376572772</v>
      </c>
      <c r="Q66" s="3">
        <f t="shared" ref="Q66:Q71" si="25">I66-P66</f>
        <v>-5.7054546912442419</v>
      </c>
      <c r="R66" s="3">
        <f t="shared" ref="R66:R71" si="26">Q66^2</f>
        <v>32.552213233840931</v>
      </c>
    </row>
    <row r="67" spans="8:18" x14ac:dyDescent="0.3">
      <c r="H67">
        <f>'Data Generator'!A67</f>
        <v>66</v>
      </c>
      <c r="I67">
        <f>'Data Generator'!C67</f>
        <v>145.01847157160103</v>
      </c>
      <c r="J67">
        <f t="shared" si="18"/>
        <v>30.5</v>
      </c>
      <c r="K67">
        <f t="shared" si="19"/>
        <v>930.25</v>
      </c>
      <c r="L67">
        <f t="shared" si="20"/>
        <v>75.487058301715905</v>
      </c>
      <c r="M67">
        <f t="shared" si="21"/>
        <v>5698.2959710466557</v>
      </c>
      <c r="N67">
        <f t="shared" si="22"/>
        <v>2302.3552782023353</v>
      </c>
      <c r="O67">
        <f t="shared" si="23"/>
        <v>930.25</v>
      </c>
      <c r="P67" s="3">
        <f t="shared" si="24"/>
        <v>132.23329310456984</v>
      </c>
      <c r="Q67" s="3">
        <f t="shared" si="25"/>
        <v>12.785178467031187</v>
      </c>
      <c r="R67" s="3">
        <f t="shared" si="26"/>
        <v>163.46078843383793</v>
      </c>
    </row>
    <row r="68" spans="8:18" x14ac:dyDescent="0.3">
      <c r="H68">
        <f>'Data Generator'!A68</f>
        <v>67</v>
      </c>
      <c r="I68">
        <f>'Data Generator'!C68</f>
        <v>139.70525401712638</v>
      </c>
      <c r="J68">
        <f t="shared" si="18"/>
        <v>31.5</v>
      </c>
      <c r="K68">
        <f t="shared" si="19"/>
        <v>992.25</v>
      </c>
      <c r="L68">
        <f t="shared" si="20"/>
        <v>70.173840747241258</v>
      </c>
      <c r="M68">
        <f t="shared" si="21"/>
        <v>4924.3679252191778</v>
      </c>
      <c r="N68">
        <f t="shared" si="22"/>
        <v>2210.4759835380996</v>
      </c>
      <c r="O68">
        <f t="shared" si="23"/>
        <v>992.25</v>
      </c>
      <c r="P68" s="3">
        <f t="shared" si="24"/>
        <v>134.28909244341196</v>
      </c>
      <c r="Q68" s="3">
        <f t="shared" si="25"/>
        <v>5.4161615737144189</v>
      </c>
      <c r="R68" s="3">
        <f t="shared" si="26"/>
        <v>29.33480619258065</v>
      </c>
    </row>
    <row r="69" spans="8:18" x14ac:dyDescent="0.3">
      <c r="H69">
        <f>'Data Generator'!A69</f>
        <v>68</v>
      </c>
      <c r="I69">
        <f>'Data Generator'!C69</f>
        <v>133.90087586982008</v>
      </c>
      <c r="J69">
        <f t="shared" si="18"/>
        <v>32.5</v>
      </c>
      <c r="K69">
        <f t="shared" si="19"/>
        <v>1056.25</v>
      </c>
      <c r="L69">
        <f t="shared" si="20"/>
        <v>64.369462599934963</v>
      </c>
      <c r="M69">
        <f t="shared" si="21"/>
        <v>4143.4277154044257</v>
      </c>
      <c r="N69">
        <f t="shared" si="22"/>
        <v>2092.0075344978864</v>
      </c>
      <c r="O69">
        <f t="shared" si="23"/>
        <v>1056.25</v>
      </c>
      <c r="P69" s="3">
        <f t="shared" si="24"/>
        <v>136.34489178225408</v>
      </c>
      <c r="Q69" s="3">
        <f t="shared" si="25"/>
        <v>-2.4440159124339971</v>
      </c>
      <c r="R69" s="3">
        <f t="shared" si="26"/>
        <v>5.9732137802305836</v>
      </c>
    </row>
    <row r="70" spans="8:18" x14ac:dyDescent="0.3">
      <c r="H70">
        <f>'Data Generator'!A70</f>
        <v>69</v>
      </c>
      <c r="I70">
        <f>'Data Generator'!C70</f>
        <v>166.15001460108576</v>
      </c>
      <c r="J70">
        <f t="shared" si="18"/>
        <v>33.5</v>
      </c>
      <c r="K70">
        <f t="shared" si="19"/>
        <v>1122.25</v>
      </c>
      <c r="L70">
        <f t="shared" si="20"/>
        <v>96.618601331200637</v>
      </c>
      <c r="M70">
        <f t="shared" si="21"/>
        <v>9335.1541231974861</v>
      </c>
      <c r="N70">
        <f t="shared" si="22"/>
        <v>3236.7231445952211</v>
      </c>
      <c r="O70">
        <f t="shared" si="23"/>
        <v>1122.25</v>
      </c>
      <c r="P70" s="3">
        <f t="shared" si="24"/>
        <v>138.4006911210962</v>
      </c>
      <c r="Q70" s="3">
        <f t="shared" si="25"/>
        <v>27.749323479989556</v>
      </c>
      <c r="R70" s="3">
        <f t="shared" si="26"/>
        <v>770.02495359709974</v>
      </c>
    </row>
    <row r="71" spans="8:18" x14ac:dyDescent="0.3">
      <c r="H71">
        <f>'Data Generator'!A71</f>
        <v>70</v>
      </c>
      <c r="I71">
        <f>'Data Generator'!C71</f>
        <v>141.38732992524996</v>
      </c>
      <c r="J71">
        <f t="shared" si="18"/>
        <v>34.5</v>
      </c>
      <c r="K71">
        <f t="shared" si="19"/>
        <v>1190.25</v>
      </c>
      <c r="L71">
        <f t="shared" si="20"/>
        <v>71.855916655364837</v>
      </c>
      <c r="M71">
        <f t="shared" si="21"/>
        <v>5163.2727583827382</v>
      </c>
      <c r="N71">
        <f t="shared" si="22"/>
        <v>2479.0291246100869</v>
      </c>
      <c r="O71">
        <f t="shared" si="23"/>
        <v>1190.25</v>
      </c>
      <c r="P71" s="3">
        <f t="shared" si="24"/>
        <v>140.45649045993832</v>
      </c>
      <c r="Q71" s="3">
        <f t="shared" si="25"/>
        <v>0.93083946531163519</v>
      </c>
      <c r="R71" s="3">
        <f t="shared" si="26"/>
        <v>0.86646211018165087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A5B2-3D24-40EB-A42F-4E9DA0AB77FD}">
  <sheetPr codeName="Sheet3"/>
  <dimension ref="A1:K21"/>
  <sheetViews>
    <sheetView workbookViewId="0">
      <selection activeCell="J37" sqref="J37"/>
    </sheetView>
  </sheetViews>
  <sheetFormatPr defaultRowHeight="14.4" x14ac:dyDescent="0.3"/>
  <cols>
    <col min="2" max="2" width="8.21875" customWidth="1"/>
    <col min="11" max="11" width="12" bestFit="1" customWidth="1"/>
  </cols>
  <sheetData>
    <row r="1" spans="1:11" x14ac:dyDescent="0.3">
      <c r="A1" t="s">
        <v>16</v>
      </c>
      <c r="B1" t="s">
        <v>15</v>
      </c>
      <c r="C1" t="s">
        <v>13</v>
      </c>
      <c r="D1" t="s">
        <v>17</v>
      </c>
      <c r="E1" t="s">
        <v>27</v>
      </c>
      <c r="F1" t="s">
        <v>28</v>
      </c>
      <c r="G1" t="s">
        <v>29</v>
      </c>
      <c r="H1" t="s">
        <v>19</v>
      </c>
      <c r="I1" t="s">
        <v>33</v>
      </c>
      <c r="J1" t="s">
        <v>36</v>
      </c>
      <c r="K1" t="s">
        <v>37</v>
      </c>
    </row>
    <row r="2" spans="1:11" x14ac:dyDescent="0.3">
      <c r="A2">
        <v>1</v>
      </c>
      <c r="B2" s="1">
        <v>1</v>
      </c>
      <c r="C2">
        <v>66.742052269217211</v>
      </c>
      <c r="D2">
        <v>0.95345788956024591</v>
      </c>
      <c r="E2" t="e">
        <v>#NUM!</v>
      </c>
      <c r="F2" t="e">
        <v>#NUM!</v>
      </c>
      <c r="G2">
        <v>71.155261802347979</v>
      </c>
      <c r="H2" t="e">
        <v>#NUM!</v>
      </c>
      <c r="I2">
        <v>0.99941550863162798</v>
      </c>
      <c r="J2" t="e">
        <v>#NUM!</v>
      </c>
      <c r="K2" t="e">
        <v>#NUM!</v>
      </c>
    </row>
    <row r="3" spans="1:11" x14ac:dyDescent="0.3">
      <c r="A3">
        <v>2</v>
      </c>
      <c r="B3" s="2">
        <v>1.5</v>
      </c>
      <c r="C3">
        <v>191.77126468727855</v>
      </c>
      <c r="D3">
        <v>2.7395894955325506</v>
      </c>
      <c r="E3">
        <v>5.0872519905560002E-3</v>
      </c>
      <c r="F3">
        <v>0.20780038884112217</v>
      </c>
      <c r="G3">
        <v>71.089130951421069</v>
      </c>
      <c r="H3">
        <v>0.85999389272979754</v>
      </c>
      <c r="I3">
        <v>0.99832762923868534</v>
      </c>
      <c r="J3">
        <v>393.4292648575406</v>
      </c>
      <c r="K3">
        <v>2.0493402161188679E-118</v>
      </c>
    </row>
    <row r="4" spans="1:11" x14ac:dyDescent="0.3">
      <c r="A4">
        <v>3</v>
      </c>
      <c r="B4" s="1">
        <v>2</v>
      </c>
      <c r="C4">
        <v>255.41021809300835</v>
      </c>
      <c r="D4">
        <v>3.6487174013286907</v>
      </c>
      <c r="E4">
        <v>7.5955809070817303E-3</v>
      </c>
      <c r="F4">
        <v>0.31025879372515275</v>
      </c>
      <c r="G4">
        <v>71.086424038909641</v>
      </c>
      <c r="H4">
        <v>1.2840239099521047</v>
      </c>
      <c r="I4">
        <v>0.99778397152664122</v>
      </c>
      <c r="J4">
        <v>264.10499589162538</v>
      </c>
      <c r="K4">
        <v>2.6282246890362147E-106</v>
      </c>
    </row>
    <row r="5" spans="1:11" x14ac:dyDescent="0.3">
      <c r="A5">
        <v>4</v>
      </c>
      <c r="B5" s="2">
        <v>2.5</v>
      </c>
      <c r="C5">
        <v>396.09122356048147</v>
      </c>
      <c r="D5">
        <v>5.6584460508640211</v>
      </c>
      <c r="E5">
        <v>1.1314521990281722E-2</v>
      </c>
      <c r="F5">
        <v>0.46216740855312027</v>
      </c>
      <c r="G5">
        <v>71.050852127363399</v>
      </c>
      <c r="H5">
        <v>1.9127064727406611</v>
      </c>
      <c r="I5">
        <v>0.99655505356341689</v>
      </c>
      <c r="J5">
        <v>176.97368471021409</v>
      </c>
      <c r="K5">
        <v>3.7324626219581464E-94</v>
      </c>
    </row>
    <row r="6" spans="1:11" x14ac:dyDescent="0.3">
      <c r="A6">
        <v>5</v>
      </c>
      <c r="B6" s="1">
        <v>3</v>
      </c>
      <c r="C6">
        <v>449.37797109929778</v>
      </c>
      <c r="D6">
        <v>6.4196853014185393</v>
      </c>
      <c r="E6">
        <v>1.2436081421569659E-2</v>
      </c>
      <c r="F6">
        <v>0.50798005678889002</v>
      </c>
      <c r="G6">
        <v>70.927725690291311</v>
      </c>
      <c r="H6">
        <v>2.1023047594053863</v>
      </c>
      <c r="I6">
        <v>0.99591918734437401</v>
      </c>
      <c r="J6">
        <v>157.52480008890711</v>
      </c>
      <c r="K6">
        <v>1.265961839075744E-90</v>
      </c>
    </row>
    <row r="7" spans="1:11" x14ac:dyDescent="0.3">
      <c r="A7">
        <v>6</v>
      </c>
      <c r="B7" s="2">
        <v>3.5</v>
      </c>
      <c r="C7">
        <v>892.23708263524543</v>
      </c>
      <c r="D7">
        <v>12.746244037646363</v>
      </c>
      <c r="E7">
        <v>1.9391715579290227E-2</v>
      </c>
      <c r="F7">
        <v>0.79209876867777262</v>
      </c>
      <c r="G7">
        <v>70.842187718427652</v>
      </c>
      <c r="H7">
        <v>3.2781464332220369</v>
      </c>
      <c r="I7">
        <v>0.99240205665683079</v>
      </c>
      <c r="J7">
        <v>104.13760554281249</v>
      </c>
      <c r="K7">
        <v>4.2669415229255519E-78</v>
      </c>
    </row>
    <row r="8" spans="1:11" x14ac:dyDescent="0.3">
      <c r="A8">
        <v>7</v>
      </c>
      <c r="B8" s="1">
        <v>4</v>
      </c>
      <c r="C8">
        <v>759.13916156479354</v>
      </c>
      <c r="D8">
        <v>10.844845165211336</v>
      </c>
      <c r="E8">
        <v>1.7592720404261301E-2</v>
      </c>
      <c r="F8">
        <v>0.71861471528543108</v>
      </c>
      <c r="G8">
        <v>71.038643004556207</v>
      </c>
      <c r="H8">
        <v>2.9740284405518613</v>
      </c>
      <c r="I8">
        <v>0.99331154229976204</v>
      </c>
      <c r="J8">
        <v>112.90036063499265</v>
      </c>
      <c r="K8">
        <v>1.5428386335871011E-80</v>
      </c>
    </row>
    <row r="9" spans="1:11" x14ac:dyDescent="0.3">
      <c r="A9">
        <v>8</v>
      </c>
      <c r="B9" s="2">
        <v>4.5</v>
      </c>
      <c r="C9">
        <v>1091.7553320452555</v>
      </c>
      <c r="D9">
        <v>15.596504743503649</v>
      </c>
      <c r="E9">
        <v>2.1812303030695392E-2</v>
      </c>
      <c r="F9">
        <v>0.89097317367278839</v>
      </c>
      <c r="G9">
        <v>70.913274030816794</v>
      </c>
      <c r="H9">
        <v>3.687343860220206</v>
      </c>
      <c r="I9">
        <v>0.99010534710142883</v>
      </c>
      <c r="J9">
        <v>89.63743954094339</v>
      </c>
      <c r="K9">
        <v>1.4282933243071475E-73</v>
      </c>
    </row>
    <row r="10" spans="1:11" x14ac:dyDescent="0.3">
      <c r="A10">
        <v>9</v>
      </c>
      <c r="B10" s="1">
        <v>5</v>
      </c>
      <c r="C10">
        <v>1720.8190112726818</v>
      </c>
      <c r="D10">
        <v>24.583128732466882</v>
      </c>
      <c r="E10">
        <v>2.8111235819521335E-2</v>
      </c>
      <c r="F10">
        <v>1.148267423148146</v>
      </c>
      <c r="G10">
        <v>71.333021514609371</v>
      </c>
      <c r="H10">
        <v>4.7521709494153175</v>
      </c>
      <c r="I10">
        <v>0.98502223458760052</v>
      </c>
      <c r="J10">
        <v>70.790511019147374</v>
      </c>
      <c r="K10">
        <v>1.7903495325327912E-66</v>
      </c>
    </row>
    <row r="11" spans="1:11" x14ac:dyDescent="0.3">
      <c r="A11">
        <v>10</v>
      </c>
      <c r="B11" s="2">
        <v>5.5</v>
      </c>
      <c r="C11">
        <v>1780.5215017060441</v>
      </c>
      <c r="D11">
        <v>25.436021452943486</v>
      </c>
      <c r="E11">
        <v>2.8637152136263409E-2</v>
      </c>
      <c r="F11">
        <v>1.1697496723702747</v>
      </c>
      <c r="G11">
        <v>71.863774805598823</v>
      </c>
      <c r="H11">
        <v>4.8410764766675074</v>
      </c>
      <c r="I11">
        <v>0.98520536457222896</v>
      </c>
      <c r="J11">
        <v>71.128380094326005</v>
      </c>
      <c r="K11">
        <v>1.2886757896876864E-66</v>
      </c>
    </row>
    <row r="12" spans="1:11" x14ac:dyDescent="0.3">
      <c r="A12">
        <v>11</v>
      </c>
      <c r="B12" s="1">
        <v>6</v>
      </c>
      <c r="C12">
        <v>2520.8274066914651</v>
      </c>
      <c r="D12">
        <v>36.011820095592356</v>
      </c>
      <c r="E12">
        <v>3.4498707137760543E-2</v>
      </c>
      <c r="F12">
        <v>1.4091782304180953</v>
      </c>
      <c r="G12">
        <v>71.318704404006766</v>
      </c>
      <c r="H12">
        <v>5.8319653716043582</v>
      </c>
      <c r="I12">
        <v>0.97909757938066466</v>
      </c>
      <c r="J12">
        <v>58.921163800514236</v>
      </c>
      <c r="K12">
        <v>5.5070620393845548E-61</v>
      </c>
    </row>
    <row r="13" spans="1:11" x14ac:dyDescent="0.3">
      <c r="A13">
        <v>12</v>
      </c>
      <c r="B13" s="2">
        <v>6.5</v>
      </c>
      <c r="C13">
        <v>2752.3812521901059</v>
      </c>
      <c r="D13">
        <v>39.31973217414437</v>
      </c>
      <c r="E13">
        <v>3.6137419934980791E-2</v>
      </c>
      <c r="F13">
        <v>1.4761151852010397</v>
      </c>
      <c r="G13">
        <v>70.699606287322723</v>
      </c>
      <c r="H13">
        <v>6.1089878191190046</v>
      </c>
      <c r="I13">
        <v>0.97637372236645148</v>
      </c>
      <c r="J13">
        <v>55.207162486673269</v>
      </c>
      <c r="K13">
        <v>4.7763030674658929E-59</v>
      </c>
    </row>
    <row r="14" spans="1:11" x14ac:dyDescent="0.3">
      <c r="A14">
        <v>13</v>
      </c>
      <c r="B14" s="1">
        <v>7</v>
      </c>
      <c r="C14">
        <v>3266.6590539643785</v>
      </c>
      <c r="D14">
        <v>46.666557913776835</v>
      </c>
      <c r="E14">
        <v>3.9534761793095535E-2</v>
      </c>
      <c r="F14">
        <v>1.6148873475497947</v>
      </c>
      <c r="G14">
        <v>70.160072322934639</v>
      </c>
      <c r="H14">
        <v>6.6833044157644679</v>
      </c>
      <c r="I14">
        <v>0.97021154093318229</v>
      </c>
      <c r="J14">
        <v>48.805622953337952</v>
      </c>
      <c r="K14">
        <v>2.1483653214839968E-55</v>
      </c>
    </row>
    <row r="15" spans="1:11" x14ac:dyDescent="0.3">
      <c r="A15">
        <v>14</v>
      </c>
      <c r="B15" s="2">
        <v>7.5</v>
      </c>
      <c r="C15">
        <v>4348.0261356825658</v>
      </c>
      <c r="D15">
        <v>62.114659081179511</v>
      </c>
      <c r="E15">
        <v>4.5864649350600313E-2</v>
      </c>
      <c r="F15">
        <v>1.8734460150213297</v>
      </c>
      <c r="G15">
        <v>71.996989789518324</v>
      </c>
      <c r="H15">
        <v>7.7533643717536913</v>
      </c>
      <c r="I15">
        <v>0.96406136421867161</v>
      </c>
      <c r="J15">
        <v>44.04812476820544</v>
      </c>
      <c r="K15">
        <v>2.25404032931764E-52</v>
      </c>
    </row>
    <row r="16" spans="1:11" x14ac:dyDescent="0.3">
      <c r="A16">
        <v>15</v>
      </c>
      <c r="B16" s="1">
        <v>8</v>
      </c>
      <c r="C16">
        <v>3296.4463896486154</v>
      </c>
      <c r="D16">
        <v>47.092091280694504</v>
      </c>
      <c r="E16">
        <v>3.9722637042962132E-2</v>
      </c>
      <c r="F16">
        <v>1.6225615398344264</v>
      </c>
      <c r="G16">
        <v>71.760843729157529</v>
      </c>
      <c r="H16">
        <v>6.7150645030926173</v>
      </c>
      <c r="I16">
        <v>0.97197876955606832</v>
      </c>
      <c r="J16">
        <v>50.356740175673394</v>
      </c>
      <c r="K16">
        <v>2.5523714474774351E-56</v>
      </c>
    </row>
    <row r="17" spans="1:11" x14ac:dyDescent="0.3">
      <c r="A17">
        <v>16</v>
      </c>
      <c r="B17" s="2">
        <v>8.5</v>
      </c>
      <c r="C17">
        <v>4996.9588581041908</v>
      </c>
      <c r="D17">
        <v>71.385126544345582</v>
      </c>
      <c r="E17">
        <v>4.9274369471472165E-2</v>
      </c>
      <c r="F17">
        <v>2.012723795691898</v>
      </c>
      <c r="G17">
        <v>71.685863811986437</v>
      </c>
      <c r="H17">
        <v>8.3297734989821652</v>
      </c>
      <c r="I17">
        <v>0.95729212834533983</v>
      </c>
      <c r="J17">
        <v>40.177968502729847</v>
      </c>
      <c r="K17">
        <v>1.1058086913130667E-49</v>
      </c>
    </row>
    <row r="18" spans="1:11" x14ac:dyDescent="0.3">
      <c r="A18">
        <v>17</v>
      </c>
      <c r="B18" s="1">
        <v>9</v>
      </c>
      <c r="C18">
        <v>4666.6546640712313</v>
      </c>
      <c r="D18">
        <v>66.666495201017597</v>
      </c>
      <c r="E18">
        <v>4.7569385923713785E-2</v>
      </c>
      <c r="F18">
        <v>1.9430798612358053</v>
      </c>
      <c r="G18">
        <v>72.083659187689975</v>
      </c>
      <c r="H18">
        <v>8.0415480599830769</v>
      </c>
      <c r="I18">
        <v>0.96155773132667532</v>
      </c>
      <c r="J18">
        <v>42.486049168549428</v>
      </c>
      <c r="K18">
        <v>2.579865699621559E-51</v>
      </c>
    </row>
    <row r="19" spans="1:11" x14ac:dyDescent="0.3">
      <c r="A19">
        <v>18</v>
      </c>
      <c r="B19" s="2">
        <v>9.5</v>
      </c>
      <c r="C19">
        <v>7024.2659595398072</v>
      </c>
      <c r="D19">
        <v>100.34665656485438</v>
      </c>
      <c r="E19">
        <v>5.8663461216608218E-2</v>
      </c>
      <c r="F19">
        <v>2.3962426225804014</v>
      </c>
      <c r="G19">
        <v>71.858775826480937</v>
      </c>
      <c r="H19">
        <v>9.9169882809678853</v>
      </c>
      <c r="I19">
        <v>0.94385095044744027</v>
      </c>
      <c r="J19">
        <v>34.649835531400292</v>
      </c>
      <c r="K19">
        <v>2.1408185651605251E-45</v>
      </c>
    </row>
    <row r="20" spans="1:11" x14ac:dyDescent="0.3">
      <c r="A20">
        <v>19</v>
      </c>
      <c r="B20" s="1">
        <v>10</v>
      </c>
      <c r="C20">
        <v>7475.0230495304677</v>
      </c>
      <c r="D20">
        <v>106.78604356472097</v>
      </c>
      <c r="E20">
        <v>6.0553549393426179E-2</v>
      </c>
      <c r="F20">
        <v>2.4734475770068585</v>
      </c>
      <c r="G20">
        <v>69.69454305869229</v>
      </c>
      <c r="H20">
        <v>10.236505437146066</v>
      </c>
      <c r="I20">
        <v>0.93842394871737012</v>
      </c>
      <c r="J20">
        <v>32.972218583995719</v>
      </c>
      <c r="K20">
        <v>5.6667262325153988E-44</v>
      </c>
    </row>
    <row r="21" spans="1:11" x14ac:dyDescent="0.3">
      <c r="A21" s="6">
        <v>20</v>
      </c>
      <c r="B21" s="7">
        <v>10.5</v>
      </c>
      <c r="C21">
        <v>7266.4442579946872</v>
      </c>
      <c r="D21">
        <v>103.80634654278124</v>
      </c>
      <c r="E21">
        <v>5.9686389614069434E-2</v>
      </c>
      <c r="F21">
        <v>2.4380264617029126</v>
      </c>
      <c r="G21">
        <v>69.531413269885121</v>
      </c>
      <c r="H21">
        <v>10.089913108782515</v>
      </c>
      <c r="I21">
        <v>0.94325034304003508</v>
      </c>
      <c r="J21">
        <v>34.443352196955857</v>
      </c>
      <c r="K21">
        <v>3.1794521440023265E-45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Generator</vt:lpstr>
      <vt:lpstr>Regression Analysis</vt:lpstr>
      <vt:lpstr>RSS versus Noise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Aanchit Nayak</dc:creator>
  <cp:lastModifiedBy>Aanchit Nayak</cp:lastModifiedBy>
  <dcterms:created xsi:type="dcterms:W3CDTF">2015-06-05T18:17:20Z</dcterms:created>
  <dcterms:modified xsi:type="dcterms:W3CDTF">2020-01-27T10:19:32Z</dcterms:modified>
</cp:coreProperties>
</file>